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App Interaction Report" sheetId="2" r:id="rId6"/>
    <sheet state="visible" name="Onboarding" sheetId="3" r:id="rId7"/>
    <sheet state="visible" name="VulnerabilitySurvey" sheetId="4" r:id="rId8"/>
    <sheet state="visible" name="PublicDashLandingPg" sheetId="5" r:id="rId9"/>
    <sheet state="visible" name="PublicReferralThankYouSplash" sheetId="6" r:id="rId10"/>
    <sheet state="visible" name="ParticipantProfile" sheetId="7" r:id="rId11"/>
    <sheet state="visible" name="ParticipantPartnerRelations" sheetId="8" r:id="rId12"/>
    <sheet state="visible" name="ReferralLog" sheetId="9" r:id="rId13"/>
    <sheet state="visible" name="Statuses" sheetId="10" r:id="rId14"/>
    <sheet state="visible" name="SharedCarePlan" sheetId="11" r:id="rId15"/>
    <sheet state="visible" name="Countries" sheetId="12" r:id="rId16"/>
    <sheet state="visible" name="US States" sheetId="13" r:id="rId17"/>
    <sheet state="visible" name="QuestionZCodeDims" sheetId="14" r:id="rId18"/>
    <sheet state="visible" name="Profiles" sheetId="15" r:id="rId19"/>
    <sheet state="visible" name="ProfileTypes" sheetId="16" r:id="rId20"/>
    <sheet state="visible" name="CommunityPartners" sheetId="17" r:id="rId21"/>
    <sheet state="visible" name="Demographics" sheetId="18" r:id="rId22"/>
    <sheet state="visible" name="CommunicationMethods" sheetId="19" r:id="rId23"/>
    <sheet state="visible" name="Levels of Income" sheetId="20" r:id="rId24"/>
    <sheet state="visible" name="Levels of Education" sheetId="21" r:id="rId25"/>
    <sheet state="visible" name="Salutation" sheetId="22" r:id="rId26"/>
    <sheet state="visible" name="Race" sheetId="23" r:id="rId27"/>
    <sheet state="visible" name="Pronouns" sheetId="24" r:id="rId28"/>
    <sheet state="visible" name="Gender" sheetId="25" r:id="rId29"/>
    <sheet state="visible" name="ContactInfo" sheetId="26" r:id="rId30"/>
    <sheet state="visible" name="PartnerDemoSurvey" sheetId="27" r:id="rId31"/>
    <sheet state="visible" name="Users" sheetId="28" r:id="rId32"/>
    <sheet state="visible" name="SMS_Notifications" sheetId="29" r:id="rId33"/>
    <sheet state="visible" name="StreetAddress" sheetId="30" r:id="rId34"/>
    <sheet state="visible" name="Employees" sheetId="31" r:id="rId35"/>
    <sheet state="visible" name="UserRoles" sheetId="32" r:id="rId36"/>
    <sheet state="visible" name="Roles" sheetId="33" r:id="rId37"/>
    <sheet state="visible" name="Teams" sheetId="34" r:id="rId38"/>
    <sheet state="visible" name="UserTeams" sheetId="35" r:id="rId39"/>
    <sheet state="visible" name="Tables" sheetId="36" r:id="rId40"/>
  </sheets>
  <definedNames/>
  <calcPr/>
  <pivotCaches>
    <pivotCache cacheId="0" r:id="rId41"/>
    <pivotCache cacheId="1" r:id="rId42"/>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https://www.worldometers.info/geography/alphabetical-list-of-countries/</t>
      </text>
    </comment>
  </commentList>
</comments>
</file>

<file path=xl/sharedStrings.xml><?xml version="1.0" encoding="utf-8"?>
<sst xmlns="http://schemas.openxmlformats.org/spreadsheetml/2006/main" count="3143" uniqueCount="1991">
  <si>
    <t>Metric Category</t>
  </si>
  <si>
    <t>Key Statistic</t>
  </si>
  <si>
    <t>Source Sheet</t>
  </si>
  <si>
    <t>Current Value (Counts)</t>
  </si>
  <si>
    <t>Comparison to Last Period</t>
  </si>
  <si>
    <t>Status/Trend</t>
  </si>
  <si>
    <t>Referrals</t>
  </si>
  <si>
    <t>Total Referrals YTD</t>
  </si>
  <si>
    <t>Referrals Log</t>
  </si>
  <si>
    <t>Growing</t>
  </si>
  <si>
    <t>Partners</t>
  </si>
  <si>
    <t>Active Partners</t>
  </si>
  <si>
    <t>Partner List</t>
  </si>
  <si>
    <t>Stable</t>
  </si>
  <si>
    <t>Stabilization</t>
  </si>
  <si>
    <t>Average Case Duration (Days)</t>
  </si>
  <si>
    <t>Case Management</t>
  </si>
  <si>
    <t>Improving</t>
  </si>
  <si>
    <t>Financial</t>
  </si>
  <si>
    <t>YTD Budget Utilization</t>
  </si>
  <si>
    <t>Budget Tracking</t>
  </si>
  <si>
    <t>On Track</t>
  </si>
  <si>
    <t>Engagement</t>
  </si>
  <si>
    <t>App Usage (Number of Saves) YTD</t>
  </si>
  <si>
    <t>Usage Data</t>
  </si>
  <si>
    <t>Strong</t>
  </si>
  <si>
    <t>Clients</t>
  </si>
  <si>
    <t>New Clients Onboarded Q3</t>
  </si>
  <si>
    <t>Onboarding Data</t>
  </si>
  <si>
    <t>Slight Dip</t>
  </si>
  <si>
    <t>SUM of Current Value (Counts)</t>
  </si>
  <si>
    <t>Grand Total</t>
  </si>
  <si>
    <t>Affinity Category</t>
  </si>
  <si>
    <t>Count</t>
  </si>
  <si>
    <t>Key Metrics to Track</t>
  </si>
  <si>
    <t>Examples from Text</t>
  </si>
  <si>
    <t>Clinical Diagnoses &amp; Symptomatology</t>
  </si>
  <si>
    <t>Prevalence of psychotic symptoms; Specific diagnoses (PTSD, Bipolar); Substance use indicators.</t>
  </si>
  <si>
    <t>• "Struggles with positive s[ymptoms]" 11
• "Krystal has PTSD" 12
• "voices and seeing things" 13
• "diagnosed w/ schizoaffective" 14</t>
  </si>
  <si>
    <t>Demographics</t>
  </si>
  <si>
    <t>Age distribution (Youth vs. Adult); Family unit referrals.</t>
  </si>
  <si>
    <t>• "57 years old" 15
• "dad and daughter" 16
• "14 year male" 17
• "Youth recently" 18</t>
  </si>
  <si>
    <t>Risk &amp; Safety Concerns</t>
  </si>
  <si>
    <t>Rates of Suicidal Ideation (SI); Incidents of Domestic Violence (DV); Victimization events.</t>
  </si>
  <si>
    <t>• "Been very suicidal" 19
• "Domestic Violence Servi[ces]" 20
• "Jack was mugg[ed]" 21</t>
  </si>
  <si>
    <t>Treatment History</t>
  </si>
  <si>
    <t>Medication non-adherence rates; Inpatient admission requests.</t>
  </si>
  <si>
    <t>• "got off all her meds" 22
• "Inpaen Vaituunt Pending" 23
• "Tred 3 different medica[tions]" 24</t>
  </si>
  <si>
    <t>Housing &amp; Basic Needs</t>
  </si>
  <si>
    <t>Homelessness rates; Food insecurity; Housing instability.</t>
  </si>
  <si>
    <t>• "homeless with his family" 25
• "was at the food [bank]" 26
• "doesn't have stable housing" 27</t>
  </si>
  <si>
    <t>Legal &amp; Social Determinants</t>
  </si>
  <si>
    <t>Legal system involvement (Probation); Educational/Vocational needs.</t>
  </si>
  <si>
    <t>• "on probation" 28
• "education employment" 29
• "Works nights as a peer" 30</t>
  </si>
  <si>
    <t>Service Preferences</t>
  </si>
  <si>
    <t>Requests for cultural matching; Requests for preventative care.</t>
  </si>
  <si>
    <t>• "specifically a female of color therapist" 31
• "preventative mental health services" 32</t>
  </si>
  <si>
    <t>SUM of Count</t>
  </si>
  <si>
    <t>Operation</t>
  </si>
  <si>
    <t>On</t>
  </si>
  <si>
    <t>By User</t>
  </si>
  <si>
    <t>Is Preview</t>
  </si>
  <si>
    <t>When (UTC)</t>
  </si>
  <si>
    <t>Duration (sec)</t>
  </si>
  <si>
    <t>Result</t>
  </si>
  <si>
    <t>Performance</t>
  </si>
  <si>
    <t>TraceId</t>
  </si>
  <si>
    <t>App sync</t>
  </si>
  <si>
    <t>338290669 [elisndo63@gmail.com]</t>
  </si>
  <si>
    <t>Success</t>
  </si>
  <si>
    <t>975444393 [michael@transitionalcare.net]</t>
  </si>
  <si>
    <t>871782062 [stevidaugherty@gmail.com]</t>
  </si>
  <si>
    <t>Change Bot --</t>
  </si>
  <si>
    <t>Handle new ReferralLog record</t>
  </si>
  <si>
    <t>Add row</t>
  </si>
  <si>
    <t>ReferralLog</t>
  </si>
  <si>
    <t>ContactInfo</t>
  </si>
  <si>
    <t>-2 [-2]</t>
  </si>
  <si>
    <t>825541513 [gregory@transitionalcare.net]</t>
  </si>
  <si>
    <t>998905264 [macy@transitionalcare.net]</t>
  </si>
  <si>
    <t>713439674 [hqdvtvqk8k@privaterelay.appleid.com]</t>
  </si>
  <si>
    <t>OnboardingID</t>
  </si>
  <si>
    <t>Image</t>
  </si>
  <si>
    <t>Onboarding</t>
  </si>
  <si>
    <t>936714DD</t>
  </si>
  <si>
    <t>Onboarding_Images/Lucid Living Logo (Full Color) (1).png</t>
  </si>
  <si>
    <r>
      <rPr/>
      <t xml:space="preserve">Here at Lucid Living, we offer stabilization support, assisting our neighbors in stabilizing their circumstances when life starts to unravel. We're here to lighten your load -- not add to it. This app will allow you to make referrals to our program and join as a partner. 
Visit us at </t>
    </r>
    <r>
      <rPr>
        <color rgb="FF1155CC"/>
        <u/>
      </rPr>
      <t>transitionalcare.net</t>
    </r>
    <r>
      <rPr/>
      <t>.</t>
    </r>
  </si>
  <si>
    <t>SurveyID</t>
  </si>
  <si>
    <t>ParticipantContact</t>
  </si>
  <si>
    <t>DateEntered</t>
  </si>
  <si>
    <t>DateofSurvey</t>
  </si>
  <si>
    <t>Pg1</t>
  </si>
  <si>
    <t>Healthy Sleep</t>
  </si>
  <si>
    <t>How many hours of sleep did you get last night?</t>
  </si>
  <si>
    <t>How many hours of sleep are you getting on average per day?</t>
  </si>
  <si>
    <t>Biological: Getting the right amount of sleep? (Y/N)</t>
  </si>
  <si>
    <t>Sleep Scale 1-5</t>
  </si>
  <si>
    <t>Pg2</t>
  </si>
  <si>
    <t>Maintaining a Healthy Routine</t>
  </si>
  <si>
    <t>Hours of Exercise per Week</t>
  </si>
  <si>
    <t>Sedentary / Time In Front of a Screen</t>
  </si>
  <si>
    <t>Taking Medication as Prescribed</t>
  </si>
  <si>
    <t>Routine Scale 1-5</t>
  </si>
  <si>
    <t>Pg3</t>
  </si>
  <si>
    <t>Meaningful Activities</t>
  </si>
  <si>
    <t>Hours spent on hobbies</t>
  </si>
  <si>
    <t>Hours volunteering</t>
  </si>
  <si>
    <t>Meaningful Activity 1-5</t>
  </si>
  <si>
    <t>Pg4</t>
  </si>
  <si>
    <t>Social Support</t>
  </si>
  <si>
    <t>Time spent with friends</t>
  </si>
  <si>
    <t>Time spent with loved ones</t>
  </si>
  <si>
    <t>Social Support 1-5</t>
  </si>
  <si>
    <t>Pg5</t>
  </si>
  <si>
    <t>Coping Skills</t>
  </si>
  <si>
    <t>Time spent talking with good people about your situation</t>
  </si>
  <si>
    <t>Biological: Time spent using substances</t>
  </si>
  <si>
    <t>Time spent doing something fun</t>
  </si>
  <si>
    <t>Coping Skills 1-5</t>
  </si>
  <si>
    <t>PublicDashMsgID</t>
  </si>
  <si>
    <t>PublicDashMsg</t>
  </si>
  <si>
    <t>PublicDashImage</t>
  </si>
  <si>
    <t>PublicDashLinks</t>
  </si>
  <si>
    <t>u2ug93jm</t>
  </si>
  <si>
    <t>To refer a stressed neighbor to Lucid Living, please select 'referral entry' below</t>
  </si>
  <si>
    <t>PublicDashLandingPg_Images/u2ug93jm.PublicDashImage.050447.png</t>
  </si>
  <si>
    <t>transitionalcare.net</t>
  </si>
  <si>
    <t>PublicThanksID</t>
  </si>
  <si>
    <t>PublicThanks</t>
  </si>
  <si>
    <t>PublicThanksImage</t>
  </si>
  <si>
    <t>PublicThanksURL</t>
  </si>
  <si>
    <t>u2ug93je</t>
  </si>
  <si>
    <t>Thank you for your referral!</t>
  </si>
  <si>
    <t>https://www.appsheet.com:443/fsimage.png?appid=9e1f56aa-949f-4f73-ad2a-71437c1ccfca&amp;datasource=google&amp;filename=DocId%3D1-Smw4fr0vTBH0UfdLLHUFCzPYNf8hBcD&amp;signature=f73e52d2cd5beac65e9923490e6411caeb0fa7609fb6240f70f06b62fe35d879&amp;tableprovider=google&amp;userid=541359908</t>
  </si>
  <si>
    <t>ParticipantID</t>
  </si>
  <si>
    <t>ReferralID</t>
  </si>
  <si>
    <t>Enrollee Name</t>
  </si>
  <si>
    <t>Info</t>
  </si>
  <si>
    <t>CommunityContacts</t>
  </si>
  <si>
    <t>Shared care plan</t>
  </si>
  <si>
    <t>DemographicProfile</t>
  </si>
  <si>
    <t>RelatedPartnerships</t>
  </si>
  <si>
    <t>RelatedParticipants</t>
  </si>
  <si>
    <t>Team(s)</t>
  </si>
  <si>
    <t>SharedCarePlans</t>
  </si>
  <si>
    <t>ProfileStatus</t>
  </si>
  <si>
    <t>c2cb65a6</t>
  </si>
  <si>
    <t>5de6cfba</t>
  </si>
  <si>
    <t>Jason</t>
  </si>
  <si>
    <t>ca4ec38d</t>
  </si>
  <si>
    <t>6ef0cf3d</t>
  </si>
  <si>
    <t>702d67f6</t>
  </si>
  <si>
    <t>52f7a4b3</t>
  </si>
  <si>
    <t>Skyler</t>
  </si>
  <si>
    <t>78e40ec9</t>
  </si>
  <si>
    <t>64baf273</t>
  </si>
  <si>
    <t>32218133</t>
  </si>
  <si>
    <t>5efc599f</t>
  </si>
  <si>
    <t>Vivian</t>
  </si>
  <si>
    <t>e05e5a21</t>
  </si>
  <si>
    <t>8003baeb</t>
  </si>
  <si>
    <t>ebb0fa95</t>
  </si>
  <si>
    <t>Olivia</t>
  </si>
  <si>
    <t>038df5a0</t>
  </si>
  <si>
    <t>74729db5</t>
  </si>
  <si>
    <t>2c7d0607</t>
  </si>
  <si>
    <t>24d04d17</t>
  </si>
  <si>
    <t>e68ead3a</t>
  </si>
  <si>
    <t>Jamie</t>
  </si>
  <si>
    <t>8f17db23</t>
  </si>
  <si>
    <t>e7e3a4e6</t>
  </si>
  <si>
    <t>d4a9ae73</t>
  </si>
  <si>
    <t>Patrice</t>
  </si>
  <si>
    <t>a78d11ed</t>
  </si>
  <si>
    <t>b3a13308</t>
  </si>
  <si>
    <t>1089fe95</t>
  </si>
  <si>
    <t>d173bdec</t>
  </si>
  <si>
    <t>Leslie</t>
  </si>
  <si>
    <t>6f7442d1</t>
  </si>
  <si>
    <t>eb474d84</t>
  </si>
  <si>
    <t>1c6d82ec</t>
  </si>
  <si>
    <t>Max</t>
  </si>
  <si>
    <t>d86e6514</t>
  </si>
  <si>
    <t>2cdd0edd</t>
  </si>
  <si>
    <t>432117c0</t>
  </si>
  <si>
    <t>Krystal</t>
  </si>
  <si>
    <t>ad8b1dae</t>
  </si>
  <si>
    <t>c944c05a</t>
  </si>
  <si>
    <t>2495b7ba</t>
  </si>
  <si>
    <t>Brandon</t>
  </si>
  <si>
    <t>251d2051</t>
  </si>
  <si>
    <t>32d0b0e0</t>
  </si>
  <si>
    <t>7018be19</t>
  </si>
  <si>
    <t>501487bb</t>
  </si>
  <si>
    <t>0935a808</t>
  </si>
  <si>
    <t>2ea35cbc</t>
  </si>
  <si>
    <t>Desiree</t>
  </si>
  <si>
    <t>6dfc6b88</t>
  </si>
  <si>
    <t>RelationID</t>
  </si>
  <si>
    <t>PartnerID</t>
  </si>
  <si>
    <t>02ac9t95</t>
  </si>
  <si>
    <t>C376B41E</t>
  </si>
  <si>
    <t>709F6A9B</t>
  </si>
  <si>
    <t>TimestampCreated</t>
  </si>
  <si>
    <t>EnteredByContactInfo</t>
  </si>
  <si>
    <t>SelfReferring</t>
  </si>
  <si>
    <t>ReferredBy</t>
  </si>
  <si>
    <t>ReferredParticipantContact</t>
  </si>
  <si>
    <t>BackgroundNotes</t>
  </si>
  <si>
    <t>Status</t>
  </si>
  <si>
    <t>9f4825fd</t>
  </si>
  <si>
    <t>b8a334ee</t>
  </si>
  <si>
    <t>Self - I'm Referring the Participant</t>
  </si>
  <si>
    <t>dd4b71f9</t>
  </si>
  <si>
    <t>He is 57 years old. Heard about us from st vincent de paul. Just moved into a recovery house and is renting a room. Is a widow and does not know how to live and take care of himself alone. Does not know how to grocery shop or cook for himself. Said he does not know what to eat or how to clean. He is a disabled sheet metal worker. Never been low income until now so he does not know how to navigate that. Diagnosed Bipolar at 14 years old and has been in the hospital multiple times since then. Been in a depressed state for a long time and struggles to get out of bed. Is currently on medication but needs a new prescriber. Been on lithium, other meds but is stabilized and has not been in psychosis for many years.</t>
  </si>
  <si>
    <t>Archived</t>
  </si>
  <si>
    <t>d39f1f09</t>
  </si>
  <si>
    <t>Someone/something else is the source of referral</t>
  </si>
  <si>
    <t>bipolar and ptsd known diagnoses 
environmental issues 
states hes been harrassed by federal agents 
on probation, was incarcerated for "half my life"
wants to get help because he doesnt want to mess up and go back to prison
totaled car yesterday because an FBI agent was following him
went to fbi field office to see why they’re following him
doesnt like his current provider- integrated health 
in AA 
is 43 years old
has apple health</t>
  </si>
  <si>
    <t>42f79a29</t>
  </si>
  <si>
    <t>1db75c0d</t>
  </si>
  <si>
    <t>Below is a portion of Vivian's overall assessment. This outlines findings from her SIPS Assessment:
-------------------------------------------------------------------------------------------------
During the Mini-SIPS, Vivian endorsed endorsed a few psychotic-like experiences mapping onto the domain of Hallucination-like Experiences. 
Vivian reported that her hallucinations first began three or four years ago and have evolved significantly since then. She noted that these are highly episodic and that the symptoms are not very active at the moment.
In terms of visual hallucinations, Vivian reported that some of her early symptoms involved perceptual abnormalities in the environment (e.g., seeing furniture and walls in the house fluctuate in size). Later experiences that were especially distressing involved one experience in which she saw a "wall of eyeballs" at work that was associated with a full level of conviction. This led her to throw objects at the wall to determine whether it was actually real. Another distressing instance involved her seeing a "blob" of water at work that had a dark hue and did not appear to have the consistency of water, though this experience was relatively brief. Vivian's most distressing visual hallucination occurred a couple years ago where, for approximately one week, she felt bees and bugs flying around her head, which "bothered [her] so much" to the point that she was spending a lot of time swatting them out of her line of vision. Finally, one of the most distressing symptoms in more recent history was a separate one-week period where food appeared and tasted "gross," per Vivian. Though her mother is a chef and Vivian often enjoys her food, during this time, Vivian was given a plate of food that looked like a "crushed animal." Feeling disgusted by it, Vivian threw out the food. However, food continued to taste very bad for the rest of the week, with her explaining that she would only drink water to feel full.
Vivian also described experiences with auditory hallucinations. She explained that the noises "tend to drive [her] crazy" and also last for up to a week. One approximately week-long episode involved hearing constant beeping to the point that Vivian "broke down and lost [her] shit." On another occasion, she experienced a period of 7-8 hours of hearing her mother's voice (which she already finds "annoying") but had difficulty understanding the exact words. This continued even when she went outside. Another time she heard "snoring for days" while a different episode involved hearing "cars turning on." These experiences range from several hours to a week, with the most intense episode of auditory hallucinations occurring in December 2024/January 2025. Vivian explained that, in the good days, she could experience 4 to 6 months of little or no symptoms. More recently, she feels good if she can go one month without symptoms. Vivian estimated that, in the past year, ~70% of her days have involved either sub- or full-threshold symptoms of psychosis. She explained that, when she is feeling normal ("like right now"), the symptoms will be minor and more manageable. However the uptick in symptoms over the past year has made it very challenging to attend school. 
During the Mini-SIPS, Vivian endorsed a few psychotic-like experiences mapping onto the domain of Delusion-like Experiences. 
With regard to delusions, Vivian reported experiencing thoughts involving beliefs that were not hers that she felt were "morally wrong." She did not specify the content of the thoughts, but clarified that they were not voices in the hallucinatory sense. She also reported some infrequent thought broadcasting ("I'll be thinking about things and think 'oh shit I wonder if people heard that.' I'll distract myself so that others don't hear what I'm thinking."). In terms of paranoia, Vivian explained that she was always very careful to not let people know where she lived. She estimated that only 1 peer ever knew her address. Since the onset of hallucinations, she also has been very vigilant of those in her peer circle. She reported sometimes having the thought of "assigning" nefarious acts that other people might do to her that she needs to look out for. Her example was the idea that a certain friend might one day nudge her into traffic. Therefore, when with this friend, she will walk on the side opposite the street to remain safe. In the last year, she has started having more thoughts of others watching her, but was unable to specify further.
Vivian noted that she has always had a lot of electronic devices, explaining that in her "peak schizo era," she was using various proxies, VPNs, and Tor browsers. Vivian was against the use of social media and had general, non-specific ideas of needing to cover all cameras so as to protect her security. However, she was also very interested in collecting an analyzing publicly available data on others. She explained that she was fascinated by the ability of learning someone's name and using that to find criminial history, license plate numbers, information about their family, addresses, etc and would often do this in her free time.</t>
  </si>
  <si>
    <t>caa30e91</t>
  </si>
  <si>
    <t>de38365f</t>
  </si>
  <si>
    <t>1317dff3</t>
  </si>
  <si>
    <t>Going through difficult circumstances, needing a job. From Canada. Wants to start school</t>
  </si>
  <si>
    <t>9b38d5d0</t>
  </si>
  <si>
    <t>80b09dab</t>
  </si>
  <si>
    <t>844b6193</t>
  </si>
  <si>
    <t>Screened in to the Family Peer Navigator program. Has completed the baseline form already. Looking for preventative mental health services, specifically a female of colour therapist. Resides in King County. Works nights as a peer at a mobile crisis unit. Best times to contact are between 10am and 12pm Tue-Thur. If you have any questions about this, please contact Bryony Stokes (bryony.mueller@wsu.edu; 509-505-7001).</t>
  </si>
  <si>
    <t>dad and daughter isssues. might be on drugs, acting "weird" was homeless in chicago, came home so she could live with her dad. they had a dispute and is now staying with her sister. shes 40 yo. suspects depression, not happy with her life. wants to get her checked out to see if she needs counseling. no insurance.</t>
  </si>
  <si>
    <t>Previously in NJ Bremerton for 6 months 
Tried 3 different medications, is good at taking meds
Struggles with positive symptoms 
Needs the full NJ experience, saw them this week for the last visit, needs meds and full NJ service has schizophrenia, cooperative with treatment 
25 years old 
on Medicaid</t>
  </si>
  <si>
    <t>0f67e3e1</t>
  </si>
  <si>
    <t>Youth recently expressed command auditory hallucinations and went to a psych urgent care with their mother, Michelle Bowlden. Seattle Children's then sent Clarvida a referral although we are unable to see them due to them having primary private insurance, First Choice, and secondary Molina. They are currently staying with their grandmother in University Place due to not wanting to be at home with the mother's home due to the mother's boyfriend. Preferred name is Atlas. Contact information is for Michelle Bowlden and she has been informed that this referral to Lucid Living is occurring.  Phone number is 253-205-6491</t>
  </si>
  <si>
    <t>b01ae4cb</t>
  </si>
  <si>
    <t>family history of bipolar, suspected mania. sensitive to "mental illness' stigma. has multiple physical health issues. housing instability, looking for work/ stressful life event support
jaimevonreeve@gmail.com</t>
  </si>
  <si>
    <t>7681d73b</t>
  </si>
  <si>
    <t>e691c6f0</t>
  </si>
  <si>
    <t>a4e7bc4e</t>
  </si>
  <si>
    <t>BD- 10/01/2002 
Inpatient @ Wellfound,  9 days left on 2 week hold. Transferring from Valley Cities, already New Journeys. Discharge coordinator is Corine- 253-301-5503. Wants someone to go to Wellfound and introduce themselves before her discharge. Agreed to the transfer to Lucid Living. Need to call COrine to schedule a meeting with Layla. going to live with mom after inpatient. address is 1214 s 8th st #A tacoma, wa 98405</t>
  </si>
  <si>
    <t>Pending</t>
  </si>
  <si>
    <t>Max is 19 he is in his first year of college. Is on academic probation so he is home and getting re situated. Wants to go back in January. Diagnosed with adhd and anxiety. Needs extra support with coping skills and navigating. Has a hard time participating in things and depressed. Low confidence and peer support. Currently on anxiety and adhd medication.</t>
  </si>
  <si>
    <t>Been very suicidal and struggling with mental health and depression. Not very hopefully. She said a lot of things is going on, adult children at home, not working, disabled etc. Very overwhelmed and stressed. Has UHC aarp insurance.</t>
  </si>
  <si>
    <t>c7ea06fd</t>
  </si>
  <si>
    <t>e7502d7e</t>
  </si>
  <si>
    <t>5bb808e5</t>
  </si>
  <si>
    <t>Domestic Violence Survivor. Case is still open. She suffers from Lupus and is in a mental crisis situation right now.</t>
  </si>
  <si>
    <t>b4ab400c</t>
  </si>
  <si>
    <t>ff23365a</t>
  </si>
  <si>
    <t>112c8c6c</t>
  </si>
  <si>
    <t>she was in a domestic dispute at home over the past 3 days. she is currently in the office. the office number is provided. she is distressed and utilizing our pantry with her child.</t>
  </si>
  <si>
    <t>e5d36efa</t>
  </si>
  <si>
    <t>1b3945bd</t>
  </si>
  <si>
    <t>jessica is trying to get her utilities set up and is grieving the loss of her community in the camp. she has been feeling sad and not going out much.</t>
  </si>
  <si>
    <t>e3405fd8</t>
  </si>
  <si>
    <t>Krystal has PTSD, anxiety, depression from multiple DV situations. looking for a psych for medications and a therapist. has molina medicade. currently staying with a friend because her abuser lives nextdoor to her current apartment. is disabled, doesnt work, in the appeals process for her disability application. the friend shes living with goes with her to appointments and kind of acts as a peer, so her having a peer could be good for her.</t>
  </si>
  <si>
    <t>9684a112</t>
  </si>
  <si>
    <t>84e3d36e</t>
  </si>
  <si>
    <t>e9e5f9f3</t>
  </si>
  <si>
    <t>Moms name is Ashley Flores. Auditory and visual hallucinations have been happening for awhile. He is 17 years old and gets out of detention on October 3rd. Came into detention in June with visual hallucinations. His original charges were dismissed. In for new charges. Was at ccs for wise. Struggles with peers in detention. Hallucinations are telling him to do things. Specifically angry towards family members. He is not in school and has adhd, and on medication currently. Diagnosed with mood disorder, ODD and possible autism. Was on adhd medication but it made him aggressive and suicide.</t>
  </si>
  <si>
    <t>e1050312</t>
  </si>
  <si>
    <t>f5c30da6</t>
  </si>
  <si>
    <t>176d1a4f</t>
  </si>
  <si>
    <t>Struggles living alone, recents falls in her apartment. Unable to sleep in her bedroom from voices and seeing things in her room. Little to no activity during the day.</t>
  </si>
  <si>
    <t>720cf0c2</t>
  </si>
  <si>
    <t>2f2891b1</t>
  </si>
  <si>
    <t>Jack recently was mugged getting off of the bus. He is facing housing instability and is very distressed right now.</t>
  </si>
  <si>
    <t>2ed4251e</t>
  </si>
  <si>
    <t>217ad7db</t>
  </si>
  <si>
    <t>jackson was at the food bank crying because he has been having a rough time emotionally after losing SNAP benefits.</t>
  </si>
  <si>
    <t>3714fdf2</t>
  </si>
  <si>
    <t>f5adfc5b</t>
  </si>
  <si>
    <t>Heard about us from his diagnosing provider. Has been having auditory hallucinations. Was told it was a symptom of ptsd. In high school he was told he was autistic by the school counselor. Went to get an autism diagnosis and got diagnosed with MDD, ADHD, social anxiety, Schizophrenia and GAD.</t>
  </si>
  <si>
    <t>Brandon had FEP on 10/24 with a very lucid experience and on 11/3 went into psychotic/manic episode, spend 5 days at Wellfound, is home but not doing great on meds- was diagnosed with schizophrenia (possible onset with cannabis use). Brandon is 20 yr old black male, full time student at UW Seattle (Presidential Scholar) or family needs help to get him stable and back functioning. He is struggling with acceptance and especially not being himself cognitively. He has two active parents- one who is ( Clinical Therapist, other active Military member) right not biggest issue is medication.</t>
  </si>
  <si>
    <t>d4d24d54</t>
  </si>
  <si>
    <t>9e62735b</t>
  </si>
  <si>
    <t>5e6e3a2d</t>
  </si>
  <si>
    <t>14 year old male, homeless with his family living in a motel. refusing to go to school &amp; having a hard time dealing w his family’s situation. depression/ anxiety. needs therapy and education/ employment help. open to discussing meds as well. craving stability.
1/7/26 -- unable to LVM/CB</t>
  </si>
  <si>
    <t>42f79a30</t>
  </si>
  <si>
    <t>2da99f33</t>
  </si>
  <si>
    <t>ed18790c</t>
  </si>
  <si>
    <t>33df3c57</t>
  </si>
  <si>
    <t>Lana's sister Brittney came in and expressed concern for her sister, she doesn't have stable housing and is living with their brother, shes been diagnosed w schizoaffective and depression, she got off all her meds because they made her gain weight. shes in denial of her diagnosis but her sister is concerned. she may agree to treatment if presented with the peer support aspect. her sister also would like to get the family involved in Lana's care, and have family education meetings around how to best support Lana. please call the sister Brittney before calling Lana, Brittney wants to talk to you guys before presenting her sister with this option- 2537534739 is Brittney's number</t>
  </si>
  <si>
    <t>e7b9c9da</t>
  </si>
  <si>
    <t>ca681ff2</t>
  </si>
  <si>
    <t>ce6e6f4a</t>
  </si>
  <si>
    <t>in their words- “Very self aware person who has had a lot of therapy but still struggles with internalized blame of self and struggles to not fawn instead of handle conflict. I’m wary of telling them I have DID/OSDD because it requires a lot of explaining and most clinicians will reject me even tho I am pretty co conscious and stable except when destabilized by specific triggers I hope to find someone I can tell to who can refer me in house if they’re not a match
You can also say that I don’t want CBT/DBT I want someone to talk to and build a safe connection with and then we can define what modalities I need
It’s also worth noting that I am extremely sensitive to nervous system and somatic approaches as I also have dysautonomia. I’m disabled queer white and prefer therapists who are 30s-40s (millennials) trans male / cis male / non binary / gender fluid therapists preferred , trans women least preferred.
And uh they should be non religious or spiritual but not bringing that to the treatment room” 
i think michael would make a great therapist for them</t>
  </si>
  <si>
    <t>a00ab8a9</t>
  </si>
  <si>
    <t>ac16d50f</t>
  </si>
  <si>
    <t>f0c99178</t>
  </si>
  <si>
    <t>recently out of military, a little off mentally, wont talk about his military stuff but was dishonorably discharged and wont even tell his wife about why, cant hold down a job bc of his temper and PTSD episodes.
1/7/26 - VM not set up</t>
  </si>
  <si>
    <t>0109cb9e</t>
  </si>
  <si>
    <t>f328fa5b</t>
  </si>
  <si>
    <t>0cd9a62e</t>
  </si>
  <si>
    <t>moved here from Philly, has severe anxiety &amp; seizures from stress and anxiety. currently homeless with her 2 kids. needs to be medicated again and therapy as well as employment help.
1/7/26 - scheduled w/ dr greg for Tuesday 1/13/26 (natashia and 2 kids)</t>
  </si>
  <si>
    <t>a4d9f7a2</t>
  </si>
  <si>
    <t>7a755694</t>
  </si>
  <si>
    <t>cb530ec1</t>
  </si>
  <si>
    <t>curdesia just moved back to Tacoma after fleeing from DV to live in CO. shes unhoused and pregnant. has severe anxiety, depression and BPD. we are housing her in a motel until she gets permanent housing, says she wants counseling, I think she would benefit from talking to Dr Greg, shes a spiritual black woman who wants to find community.</t>
  </si>
  <si>
    <t>ae7a306a</t>
  </si>
  <si>
    <t>75c4acf0</t>
  </si>
  <si>
    <t>51faeee4</t>
  </si>
  <si>
    <t>Hospitalized from 12/26/25 until 01/07/26 for unspecified psychosis episode. Currently recovering at home. Would like information regarding services for individual and family.</t>
  </si>
  <si>
    <t>10002cbe</t>
  </si>
  <si>
    <t>ed3e0e42</t>
  </si>
  <si>
    <t>a79b3e5e</t>
  </si>
  <si>
    <t>trans man veteran. ADHD, autism, anxiety and depression. struggling with catastrophizing, black and white thinking, mild psychosis. need help learning to cope with emotions with therapy, wants education and employment help, open to a Convo about meds. has Medicaid.</t>
  </si>
  <si>
    <t>ad17535e</t>
  </si>
  <si>
    <t>7262f40b</t>
  </si>
  <si>
    <t>9e7bc4aa</t>
  </si>
  <si>
    <t>Misty is in and out of severe suicidal ideation but lots of trauma around cops and the idea of involuntary commitment. She has been committed before. She is recovering from a hate crime and displacement and her support needs have exceeded the capacity of the people who she is staying with. She has expressed potential interest in a safe alternative living situation in the past.</t>
  </si>
  <si>
    <t>d39bfa69</t>
  </si>
  <si>
    <t>ef9c454e</t>
  </si>
  <si>
    <t>0e60c974</t>
  </si>
  <si>
    <t>He is 16 years old. He has always "enjoyed getting in trouble and always stirring the pot during childhood" states mom. Gotten suspended a few times throughout school. Made gun threats towards school and had FBI show up at parents house in the middle of the night. Parents say they doubt he meant it and was not being serious. FBI and court dropped the case. Has had conflict with other kids at school lately and having depression, anxiety and psychosis. Mom and dad are trying to be very involved. Diagnosed with ADHD in middle school and was medicated and doing well until he stopped taking it. Stopped being interested in all of his hobbies. Parents went out of town in Feb and left him with his 2 younger siblings. Got a call in the middle of the night and he was screaming out the back door at someone in the shed and siblings said nobody was there. Police showed up (he called and neighbors) Got another call later in the night stating that people were in the house. Police checked, nobody there. Had more phone calls in the morning from the uncle saying he took the girls because Christopher said he caught the intruder. He was punching the air and nobody was there. Is currently smoking marijuana but states he is not using other drugs. Stabbed through his bedroom door because he thought someone was there but claimed that someone tried to stab him through the door. Not sleeping, convinced someones trying to harm him. Consistent visual and auditory hallucinations.  Last week he made threats towards another student at school and sent him photos with guns. He does not have access to guns. Not actually his, just wanting to scare the classmate. Goes to North Thurston high school sophomore. Have UHC and are Located in Lacey on Lily road in Thurston. Really into sports and competitive games.</t>
  </si>
  <si>
    <t>3b82c65f</t>
  </si>
  <si>
    <t>Unhoused, Victim of DV, married but separated, frequently gets taken advantage of due to her unsecure living situation. There are individuals in the area who seek to do her harm, no vehicle. Struggles with mental health issues, but has lost access to help.
Phone # is 2534279019, text is preferred as the call fiction has issues.</t>
  </si>
  <si>
    <t>fadd1d7a</t>
  </si>
  <si>
    <t>32556e4b</t>
  </si>
  <si>
    <t>4b9cf7bf</t>
  </si>
  <si>
    <t>Member has been diagnosed with schizophrenia unspecified and is experiencing psychosis with disorganized thought process, paranoia, hallucinations, and unstable mood. They are currently inpatient at Fairfax Behavioral. Best point of contact at this time would be Emily Seaborg (425-284-6083), she is his social worker at the facility.
*contacted Emily on 4/10/26 -- LVM/CB.
*contacted Emily on 4/16/26 via email. Awaiting response.</t>
  </si>
  <si>
    <t>StatusID</t>
  </si>
  <si>
    <t>Index</t>
  </si>
  <si>
    <t>StatusDesc</t>
  </si>
  <si>
    <t>Accepted</t>
  </si>
  <si>
    <t>Contacted</t>
  </si>
  <si>
    <t>42f79a31</t>
  </si>
  <si>
    <t>Initial Interview Completed</t>
  </si>
  <si>
    <t>42f79a32</t>
  </si>
  <si>
    <t>Enrolled</t>
  </si>
  <si>
    <t>42f79a33</t>
  </si>
  <si>
    <t>Active Episode</t>
  </si>
  <si>
    <t>42f79a34</t>
  </si>
  <si>
    <t>Inpatient</t>
  </si>
  <si>
    <t>42f79a35</t>
  </si>
  <si>
    <t>Treatment Complete</t>
  </si>
  <si>
    <t>42f79a36</t>
  </si>
  <si>
    <t>On Hold</t>
  </si>
  <si>
    <t>42f79a37</t>
  </si>
  <si>
    <t>42f79a38</t>
  </si>
  <si>
    <t>Cancelled</t>
  </si>
  <si>
    <t>SharedCarePlan</t>
  </si>
  <si>
    <t>SharedCareNotes</t>
  </si>
  <si>
    <t>EC5BC44F</t>
  </si>
  <si>
    <t>1BBCB568</t>
  </si>
  <si>
    <t>✅ Section 1: Care Plan Overview (Editable care team inputs)
✅ Section 2: PRAXIS Insights Panel (Auto-updating structured analysis from PRAXIS, displayed as a table)
✅ Section 3: Longitudinal Record &amp; Case Notes Table (File uploads, provider notes, &amp; history tracking—editable like a logbook)
Copy of (Longitudinal) Records</t>
  </si>
  <si>
    <t>CountryID</t>
  </si>
  <si>
    <t>#</t>
  </si>
  <si>
    <t>Country</t>
  </si>
  <si>
    <t>Population
(2025)</t>
  </si>
  <si>
    <t>Land Area
(Km²)</t>
  </si>
  <si>
    <t>Density
(P/Km²)</t>
  </si>
  <si>
    <t>1F28C154</t>
  </si>
  <si>
    <t>Afghanistan</t>
  </si>
  <si>
    <t>FC38BEE1</t>
  </si>
  <si>
    <t>Albania</t>
  </si>
  <si>
    <t>14FD4343</t>
  </si>
  <si>
    <t>Algeria</t>
  </si>
  <si>
    <t>4E46B28E</t>
  </si>
  <si>
    <t>Andorra</t>
  </si>
  <si>
    <t>A33AD495</t>
  </si>
  <si>
    <t>Angola</t>
  </si>
  <si>
    <t>25E99CE1</t>
  </si>
  <si>
    <t>Antigua and Barbuda</t>
  </si>
  <si>
    <t>D8CC8DAB</t>
  </si>
  <si>
    <t>Argentina</t>
  </si>
  <si>
    <t>5ECF2705</t>
  </si>
  <si>
    <t>Armenia</t>
  </si>
  <si>
    <t>8A09A216</t>
  </si>
  <si>
    <t>Australia</t>
  </si>
  <si>
    <t>A9FBB023</t>
  </si>
  <si>
    <t>Austria</t>
  </si>
  <si>
    <t>B1F9C900</t>
  </si>
  <si>
    <t>Azerbaijan</t>
  </si>
  <si>
    <t>B4C0617B</t>
  </si>
  <si>
    <t>Bahamas</t>
  </si>
  <si>
    <t>A974FD97</t>
  </si>
  <si>
    <t>Bahrain</t>
  </si>
  <si>
    <t>F146E79C</t>
  </si>
  <si>
    <t>Bangladesh</t>
  </si>
  <si>
    <t>109493CA</t>
  </si>
  <si>
    <t>Barbados</t>
  </si>
  <si>
    <t>E16B7439</t>
  </si>
  <si>
    <t>Belarus</t>
  </si>
  <si>
    <t>1A9D6789</t>
  </si>
  <si>
    <t>Belgium</t>
  </si>
  <si>
    <t>F87AB1E3</t>
  </si>
  <si>
    <t>Belize</t>
  </si>
  <si>
    <t>F81F3EE5</t>
  </si>
  <si>
    <t>Benin</t>
  </si>
  <si>
    <t>5EC7A37F</t>
  </si>
  <si>
    <t>Bhutan</t>
  </si>
  <si>
    <t>2B25DC00</t>
  </si>
  <si>
    <t>Bolivia</t>
  </si>
  <si>
    <t>6DC48EF7</t>
  </si>
  <si>
    <t>Bosnia and Herzegovina</t>
  </si>
  <si>
    <t>FE972B93</t>
  </si>
  <si>
    <t>Botswana</t>
  </si>
  <si>
    <t>BDE226BF</t>
  </si>
  <si>
    <t>Brazil</t>
  </si>
  <si>
    <t>42F71CEB</t>
  </si>
  <si>
    <t>Brunei</t>
  </si>
  <si>
    <t>AF4F76D8</t>
  </si>
  <si>
    <t>Bulgaria</t>
  </si>
  <si>
    <t>F738DC97</t>
  </si>
  <si>
    <t>Burkina Faso</t>
  </si>
  <si>
    <t>9EE2CAF6</t>
  </si>
  <si>
    <t>Burundi</t>
  </si>
  <si>
    <t>ED3C563D</t>
  </si>
  <si>
    <t>Cabo Verde</t>
  </si>
  <si>
    <t>A8BCA73E</t>
  </si>
  <si>
    <t>Cambodia</t>
  </si>
  <si>
    <t>15E85ABF</t>
  </si>
  <si>
    <t>Cameroon</t>
  </si>
  <si>
    <t>FE28AF9B</t>
  </si>
  <si>
    <t>Canada</t>
  </si>
  <si>
    <t>F2DD4BB8</t>
  </si>
  <si>
    <t>Central African Republic</t>
  </si>
  <si>
    <t>362364B0</t>
  </si>
  <si>
    <t>Chad</t>
  </si>
  <si>
    <t>FBFB4A67</t>
  </si>
  <si>
    <t>Chile</t>
  </si>
  <si>
    <t>04A09C49</t>
  </si>
  <si>
    <t>China</t>
  </si>
  <si>
    <t>8A38DBBA</t>
  </si>
  <si>
    <t>Colombia</t>
  </si>
  <si>
    <t>573B7619</t>
  </si>
  <si>
    <t>Comoros</t>
  </si>
  <si>
    <t>7BA62BD3</t>
  </si>
  <si>
    <t>Congo (Congo-Brazzaville)</t>
  </si>
  <si>
    <t>63678763</t>
  </si>
  <si>
    <t>Costa Rica</t>
  </si>
  <si>
    <t>6B397FF1</t>
  </si>
  <si>
    <t>Côte d'Ivoire</t>
  </si>
  <si>
    <t>D0F742DD</t>
  </si>
  <si>
    <t>Croatia</t>
  </si>
  <si>
    <t>7AF24902</t>
  </si>
  <si>
    <t>Cuba</t>
  </si>
  <si>
    <t>E2568B75</t>
  </si>
  <si>
    <t>Cyprus</t>
  </si>
  <si>
    <t>52C42ACB</t>
  </si>
  <si>
    <t>Czechia (Czech Republic)</t>
  </si>
  <si>
    <t>BF1C8538</t>
  </si>
  <si>
    <t>Democratic Republic of the Congo</t>
  </si>
  <si>
    <t>027A19AB</t>
  </si>
  <si>
    <t>Denmark</t>
  </si>
  <si>
    <t>106E9B0B</t>
  </si>
  <si>
    <t>Djibouti</t>
  </si>
  <si>
    <t>E87304E5</t>
  </si>
  <si>
    <t>Dominica</t>
  </si>
  <si>
    <t>DF78B907</t>
  </si>
  <si>
    <t>Dominican Republic</t>
  </si>
  <si>
    <t>DD1F1072</t>
  </si>
  <si>
    <t>Ecuador</t>
  </si>
  <si>
    <t>4DF34991</t>
  </si>
  <si>
    <t>Egypt</t>
  </si>
  <si>
    <t>2FBE3C5E</t>
  </si>
  <si>
    <t>El Salvador</t>
  </si>
  <si>
    <t>3778B971</t>
  </si>
  <si>
    <t>Equatorial Guinea</t>
  </si>
  <si>
    <t>2592BE4D</t>
  </si>
  <si>
    <t>Eritrea</t>
  </si>
  <si>
    <t>476079F8</t>
  </si>
  <si>
    <t>Estonia</t>
  </si>
  <si>
    <t>B48C2D38</t>
  </si>
  <si>
    <t>Eswatini (fmr. ""Swaziland"")</t>
  </si>
  <si>
    <t>700C7E7A</t>
  </si>
  <si>
    <t>Ethiopia</t>
  </si>
  <si>
    <t>6B28FA15</t>
  </si>
  <si>
    <t>Fiji</t>
  </si>
  <si>
    <t>4E5E845A</t>
  </si>
  <si>
    <t>Finland</t>
  </si>
  <si>
    <t>BC7B1029</t>
  </si>
  <si>
    <t>France</t>
  </si>
  <si>
    <t>9A46EB10</t>
  </si>
  <si>
    <t>Gabon</t>
  </si>
  <si>
    <t>8B852E25</t>
  </si>
  <si>
    <t>Gambia</t>
  </si>
  <si>
    <t>8943010B</t>
  </si>
  <si>
    <t>Georgia</t>
  </si>
  <si>
    <t>824484E3</t>
  </si>
  <si>
    <t>Germany</t>
  </si>
  <si>
    <t>E0D64530</t>
  </si>
  <si>
    <t>Ghana</t>
  </si>
  <si>
    <t>E9641B17</t>
  </si>
  <si>
    <t>Greece</t>
  </si>
  <si>
    <t>13DCE20C</t>
  </si>
  <si>
    <t>Grenada</t>
  </si>
  <si>
    <t>ACF9D433</t>
  </si>
  <si>
    <t>Guatemala</t>
  </si>
  <si>
    <t>E8C5ECD0</t>
  </si>
  <si>
    <t>Guinea</t>
  </si>
  <si>
    <t>21F7E060</t>
  </si>
  <si>
    <t>Guinea-Bissau</t>
  </si>
  <si>
    <t>37972ACB</t>
  </si>
  <si>
    <t>Guyana</t>
  </si>
  <si>
    <t>1AB53955</t>
  </si>
  <si>
    <t>Haiti</t>
  </si>
  <si>
    <t>88BA4969</t>
  </si>
  <si>
    <t>Holy See</t>
  </si>
  <si>
    <t>EEE26680</t>
  </si>
  <si>
    <t>Honduras</t>
  </si>
  <si>
    <t>5DD24BA3</t>
  </si>
  <si>
    <t>Hungary</t>
  </si>
  <si>
    <t>5599B606</t>
  </si>
  <si>
    <t>Iceland</t>
  </si>
  <si>
    <t>A825A4EA</t>
  </si>
  <si>
    <t>India</t>
  </si>
  <si>
    <t>AD2CFA2B</t>
  </si>
  <si>
    <t>Indonesia</t>
  </si>
  <si>
    <t>5592C5E2</t>
  </si>
  <si>
    <t>Iran</t>
  </si>
  <si>
    <t>E612840F</t>
  </si>
  <si>
    <t>Iraq</t>
  </si>
  <si>
    <t>79F4EB0C</t>
  </si>
  <si>
    <t>Ireland</t>
  </si>
  <si>
    <t>B51CA1CB</t>
  </si>
  <si>
    <t>Israel</t>
  </si>
  <si>
    <t>EE661116</t>
  </si>
  <si>
    <t>Italy</t>
  </si>
  <si>
    <t>92119303</t>
  </si>
  <si>
    <t>Jamaica</t>
  </si>
  <si>
    <t>ECD35F9D</t>
  </si>
  <si>
    <t>Japan</t>
  </si>
  <si>
    <t>0E9DE382</t>
  </si>
  <si>
    <t>Jordan</t>
  </si>
  <si>
    <t>FD76CA5C</t>
  </si>
  <si>
    <t>Kazakhstan</t>
  </si>
  <si>
    <t>41A4B47F</t>
  </si>
  <si>
    <t>Kenya</t>
  </si>
  <si>
    <t>AFFCA283</t>
  </si>
  <si>
    <t>Kiribati</t>
  </si>
  <si>
    <t>747C5A25</t>
  </si>
  <si>
    <t>Kuwait</t>
  </si>
  <si>
    <t>01DFF116</t>
  </si>
  <si>
    <t>Kyrgyzstan</t>
  </si>
  <si>
    <t>21E97ADD</t>
  </si>
  <si>
    <t>Laos</t>
  </si>
  <si>
    <t>EBECFD4F</t>
  </si>
  <si>
    <t>Latvia</t>
  </si>
  <si>
    <t>0E0A9345</t>
  </si>
  <si>
    <t>Lebanon</t>
  </si>
  <si>
    <t>D2A1C662</t>
  </si>
  <si>
    <t>Lesotho</t>
  </si>
  <si>
    <t>7C9CCC87</t>
  </si>
  <si>
    <t>Liberia</t>
  </si>
  <si>
    <t>C5D616BD</t>
  </si>
  <si>
    <t>Libya</t>
  </si>
  <si>
    <t>F2C55498</t>
  </si>
  <si>
    <t>Liechtenstein</t>
  </si>
  <si>
    <t>A2CB07B6</t>
  </si>
  <si>
    <t>Lithuania</t>
  </si>
  <si>
    <t>0368BF57</t>
  </si>
  <si>
    <t>Luxembourg</t>
  </si>
  <si>
    <t>CFC3F3F4</t>
  </si>
  <si>
    <t>Madagascar</t>
  </si>
  <si>
    <t>B5EE97FE</t>
  </si>
  <si>
    <t>Malawi</t>
  </si>
  <si>
    <t>8064B7A4</t>
  </si>
  <si>
    <t>Malaysia</t>
  </si>
  <si>
    <t>0DB0D31A</t>
  </si>
  <si>
    <t>Maldives</t>
  </si>
  <si>
    <t>27C3F45E</t>
  </si>
  <si>
    <t>Mali</t>
  </si>
  <si>
    <t>58042C60</t>
  </si>
  <si>
    <t>Malta</t>
  </si>
  <si>
    <t>1C9EF721</t>
  </si>
  <si>
    <t>Marshall Islands</t>
  </si>
  <si>
    <t>A4D76826</t>
  </si>
  <si>
    <t>Mauritania</t>
  </si>
  <si>
    <t>48DC05C7</t>
  </si>
  <si>
    <t>Mauritius</t>
  </si>
  <si>
    <t>922CCBB8</t>
  </si>
  <si>
    <t>Mexico</t>
  </si>
  <si>
    <t>47784B83</t>
  </si>
  <si>
    <t>Micronesia</t>
  </si>
  <si>
    <t>6F21BCB1</t>
  </si>
  <si>
    <t>Moldova</t>
  </si>
  <si>
    <t>D642C338</t>
  </si>
  <si>
    <t>Monaco</t>
  </si>
  <si>
    <t>9C1AA8F0</t>
  </si>
  <si>
    <t>Mongolia</t>
  </si>
  <si>
    <t>99D87C15</t>
  </si>
  <si>
    <t>Montenegro</t>
  </si>
  <si>
    <t>D5003314</t>
  </si>
  <si>
    <t>Morocco</t>
  </si>
  <si>
    <t>D5A3249D</t>
  </si>
  <si>
    <t>Mozambique</t>
  </si>
  <si>
    <t>F9F99621</t>
  </si>
  <si>
    <t>Myanmar (formerly Burma)</t>
  </si>
  <si>
    <t>24725D16</t>
  </si>
  <si>
    <t>Namibia</t>
  </si>
  <si>
    <t>E8F5AC1C</t>
  </si>
  <si>
    <t>Nauru</t>
  </si>
  <si>
    <t>F95B67DA</t>
  </si>
  <si>
    <t>Nepal</t>
  </si>
  <si>
    <t>1B11A78A</t>
  </si>
  <si>
    <t>Netherlands</t>
  </si>
  <si>
    <t>6479E937</t>
  </si>
  <si>
    <t>New Zealand</t>
  </si>
  <si>
    <t>2B4AB45F</t>
  </si>
  <si>
    <t>Nicaragua</t>
  </si>
  <si>
    <t>3B60F631</t>
  </si>
  <si>
    <t>Niger</t>
  </si>
  <si>
    <t>4259F209</t>
  </si>
  <si>
    <t>Nigeria</t>
  </si>
  <si>
    <t>76F2B993</t>
  </si>
  <si>
    <t>North Korea</t>
  </si>
  <si>
    <t>2C93F110</t>
  </si>
  <si>
    <t>North Macedonia</t>
  </si>
  <si>
    <t>66E84EBA</t>
  </si>
  <si>
    <t>Norway</t>
  </si>
  <si>
    <t>685E99D7</t>
  </si>
  <si>
    <t>Oman</t>
  </si>
  <si>
    <t>15114D4B</t>
  </si>
  <si>
    <t>Pakistan</t>
  </si>
  <si>
    <t>BD0CBF19</t>
  </si>
  <si>
    <t>Palau</t>
  </si>
  <si>
    <t>9315593C</t>
  </si>
  <si>
    <t>Palestine State</t>
  </si>
  <si>
    <t>8C16DCD5</t>
  </si>
  <si>
    <t>Panama</t>
  </si>
  <si>
    <t>67717D9D</t>
  </si>
  <si>
    <t>Papua New Guinea</t>
  </si>
  <si>
    <t>7F7A24A6</t>
  </si>
  <si>
    <t>Paraguay</t>
  </si>
  <si>
    <t>FD5B0135</t>
  </si>
  <si>
    <t>Peru</t>
  </si>
  <si>
    <t>CE1C6B2B</t>
  </si>
  <si>
    <t>Philippines</t>
  </si>
  <si>
    <t>D52CE2FE</t>
  </si>
  <si>
    <t>Poland</t>
  </si>
  <si>
    <t>43496ECE</t>
  </si>
  <si>
    <t>Portugal</t>
  </si>
  <si>
    <t>86F6DD8C</t>
  </si>
  <si>
    <t>Qatar</t>
  </si>
  <si>
    <t>391DF0BD</t>
  </si>
  <si>
    <t>Romania</t>
  </si>
  <si>
    <t>34CCCA4E</t>
  </si>
  <si>
    <t>Russia</t>
  </si>
  <si>
    <t>F8E3B5E7</t>
  </si>
  <si>
    <t>Rwanda</t>
  </si>
  <si>
    <t>8A07D632</t>
  </si>
  <si>
    <t>Saint Kitts and Nevis</t>
  </si>
  <si>
    <t>ED8FC174</t>
  </si>
  <si>
    <t>Saint Lucia</t>
  </si>
  <si>
    <t>9AAB40F1</t>
  </si>
  <si>
    <t>Saint Vincent and the Grenadines</t>
  </si>
  <si>
    <t>33C83298</t>
  </si>
  <si>
    <t>Samoa</t>
  </si>
  <si>
    <t>4BB95DE6</t>
  </si>
  <si>
    <t>San Marino</t>
  </si>
  <si>
    <t>C9B1B630</t>
  </si>
  <si>
    <t>Sao Tome and Principe</t>
  </si>
  <si>
    <t>28AE4F1E</t>
  </si>
  <si>
    <t>Saudi Arabia</t>
  </si>
  <si>
    <t>A18397F9</t>
  </si>
  <si>
    <t>Senegal</t>
  </si>
  <si>
    <t>C9158D6C</t>
  </si>
  <si>
    <t>Serbia</t>
  </si>
  <si>
    <t>534D9287</t>
  </si>
  <si>
    <t>Seychelles</t>
  </si>
  <si>
    <t>1D07D4D4</t>
  </si>
  <si>
    <t>Sierra Leone</t>
  </si>
  <si>
    <t>8F4732C6</t>
  </si>
  <si>
    <t>Singapore</t>
  </si>
  <si>
    <t>0749224D</t>
  </si>
  <si>
    <t>Slovakia</t>
  </si>
  <si>
    <t>DEA35161</t>
  </si>
  <si>
    <t>Slovenia</t>
  </si>
  <si>
    <t>B9FDF22A</t>
  </si>
  <si>
    <t>Solomon Islands</t>
  </si>
  <si>
    <t>6CE0E2B4</t>
  </si>
  <si>
    <t>Somalia</t>
  </si>
  <si>
    <t>8D6F41BC</t>
  </si>
  <si>
    <t>South Africa</t>
  </si>
  <si>
    <t>69270682</t>
  </si>
  <si>
    <t>South Korea</t>
  </si>
  <si>
    <t>57FFED1C</t>
  </si>
  <si>
    <t>South Sudan</t>
  </si>
  <si>
    <t>461BF7BB</t>
  </si>
  <si>
    <t>Spain</t>
  </si>
  <si>
    <t>AD3CFE02</t>
  </si>
  <si>
    <t>Sri Lanka</t>
  </si>
  <si>
    <t>574C489C</t>
  </si>
  <si>
    <t>Sudan</t>
  </si>
  <si>
    <t>9B7D36A4</t>
  </si>
  <si>
    <t>Suriname</t>
  </si>
  <si>
    <t>AB3E9044</t>
  </si>
  <si>
    <t>Sweden</t>
  </si>
  <si>
    <t>9521AC06</t>
  </si>
  <si>
    <t>Switzerland</t>
  </si>
  <si>
    <t>131A0451</t>
  </si>
  <si>
    <t>Syria</t>
  </si>
  <si>
    <t>9E39A776</t>
  </si>
  <si>
    <t>Tajikistan</t>
  </si>
  <si>
    <t>BFEFE726</t>
  </si>
  <si>
    <t>Tanzania</t>
  </si>
  <si>
    <t>127BD60A</t>
  </si>
  <si>
    <t>Thailand</t>
  </si>
  <si>
    <t>936136B8</t>
  </si>
  <si>
    <t>Timor-Leste</t>
  </si>
  <si>
    <t>3B742400</t>
  </si>
  <si>
    <t>Togo</t>
  </si>
  <si>
    <t>2456A217</t>
  </si>
  <si>
    <t>Tonga</t>
  </si>
  <si>
    <t>4CA47522</t>
  </si>
  <si>
    <t>Trinidad and Tobago</t>
  </si>
  <si>
    <t>01D879B2</t>
  </si>
  <si>
    <t>Tunisia</t>
  </si>
  <si>
    <t>2999665B</t>
  </si>
  <si>
    <t>Turkey</t>
  </si>
  <si>
    <t>7F4F9F00</t>
  </si>
  <si>
    <t>Turkmenistan</t>
  </si>
  <si>
    <t>777DC984</t>
  </si>
  <si>
    <t>Tuvalu</t>
  </si>
  <si>
    <t>78F414A2</t>
  </si>
  <si>
    <t>Uganda</t>
  </si>
  <si>
    <t>67CCFB7B</t>
  </si>
  <si>
    <t>Ukraine</t>
  </si>
  <si>
    <t>706F4939</t>
  </si>
  <si>
    <t>United Arab Emirates</t>
  </si>
  <si>
    <t>8C2F2066</t>
  </si>
  <si>
    <t>United Kingdom</t>
  </si>
  <si>
    <t>DED28B05</t>
  </si>
  <si>
    <t>United States of America</t>
  </si>
  <si>
    <t>A1F59A94</t>
  </si>
  <si>
    <t>Uruguay</t>
  </si>
  <si>
    <t>900F9FB0</t>
  </si>
  <si>
    <t>Uzbekistan</t>
  </si>
  <si>
    <t>F674C85F</t>
  </si>
  <si>
    <t>Vanuatu</t>
  </si>
  <si>
    <t>18FB2A1D</t>
  </si>
  <si>
    <t>Venezuela</t>
  </si>
  <si>
    <t>E5C25DC9</t>
  </si>
  <si>
    <t>Vietnam</t>
  </si>
  <si>
    <t>F5F01B56</t>
  </si>
  <si>
    <t>Yemen</t>
  </si>
  <si>
    <t>D8F6AE24</t>
  </si>
  <si>
    <t>Zambia</t>
  </si>
  <si>
    <t>49B36B87</t>
  </si>
  <si>
    <t>Zimbabwe</t>
  </si>
  <si>
    <t>StateID</t>
  </si>
  <si>
    <t>StateName</t>
  </si>
  <si>
    <t>StateAbbrev</t>
  </si>
  <si>
    <t>CapitalCity</t>
  </si>
  <si>
    <t>LargestCity</t>
  </si>
  <si>
    <t>Population2020</t>
  </si>
  <si>
    <t>TotalArea(mi2)</t>
  </si>
  <si>
    <t>TotalArea(km2)</t>
  </si>
  <si>
    <t>Reps.</t>
  </si>
  <si>
    <t>7E933D08</t>
  </si>
  <si>
    <t>Alabama</t>
  </si>
  <si>
    <t>AL</t>
  </si>
  <si>
    <t>Montgomery</t>
  </si>
  <si>
    <t>Huntsville</t>
  </si>
  <si>
    <t>22AF5664</t>
  </si>
  <si>
    <t>Alaska</t>
  </si>
  <si>
    <t>AK</t>
  </si>
  <si>
    <t>Juneau</t>
  </si>
  <si>
    <t>Anchorage</t>
  </si>
  <si>
    <t>8FC38E2A</t>
  </si>
  <si>
    <t>Arizona</t>
  </si>
  <si>
    <t>AZ</t>
  </si>
  <si>
    <t>Phoenix</t>
  </si>
  <si>
    <t>D3DD0077</t>
  </si>
  <si>
    <t>Arkansas</t>
  </si>
  <si>
    <t>AR</t>
  </si>
  <si>
    <t>Little Rock</t>
  </si>
  <si>
    <t>797828A1</t>
  </si>
  <si>
    <t>California</t>
  </si>
  <si>
    <t>CA</t>
  </si>
  <si>
    <t>Sacramento</t>
  </si>
  <si>
    <t>Los Angeles</t>
  </si>
  <si>
    <t>CDB06D4F</t>
  </si>
  <si>
    <t>Colorado</t>
  </si>
  <si>
    <t>CO</t>
  </si>
  <si>
    <t>Denver</t>
  </si>
  <si>
    <t>8930BE91</t>
  </si>
  <si>
    <t>Connecticut</t>
  </si>
  <si>
    <t>CT</t>
  </si>
  <si>
    <t>Hartford</t>
  </si>
  <si>
    <t>Bridgeport</t>
  </si>
  <si>
    <t>BC132DAA</t>
  </si>
  <si>
    <t>Delaware</t>
  </si>
  <si>
    <t>DE</t>
  </si>
  <si>
    <t>Dover</t>
  </si>
  <si>
    <t>Wilmington</t>
  </si>
  <si>
    <t>00FFF90B</t>
  </si>
  <si>
    <t>Florida</t>
  </si>
  <si>
    <t>FL</t>
  </si>
  <si>
    <t>Tallahassee</t>
  </si>
  <si>
    <t>Jacksonville</t>
  </si>
  <si>
    <t>0EDCFF30</t>
  </si>
  <si>
    <t>GA</t>
  </si>
  <si>
    <t>Atlanta</t>
  </si>
  <si>
    <t>CF4E396E</t>
  </si>
  <si>
    <t>Hawaii</t>
  </si>
  <si>
    <t>HI</t>
  </si>
  <si>
    <t>Honolulu</t>
  </si>
  <si>
    <t>DC6F61BA</t>
  </si>
  <si>
    <t>Idaho</t>
  </si>
  <si>
    <t>ID</t>
  </si>
  <si>
    <t>Boise</t>
  </si>
  <si>
    <t>20A04F81</t>
  </si>
  <si>
    <t>Illinois</t>
  </si>
  <si>
    <t>IL</t>
  </si>
  <si>
    <t>Springfield</t>
  </si>
  <si>
    <t>Chicago</t>
  </si>
  <si>
    <t>8D102569</t>
  </si>
  <si>
    <t>Indiana</t>
  </si>
  <si>
    <t>IN</t>
  </si>
  <si>
    <t>Indianapolis</t>
  </si>
  <si>
    <t>F5895A46</t>
  </si>
  <si>
    <t>Iowa</t>
  </si>
  <si>
    <t>IA</t>
  </si>
  <si>
    <t>Des Moines</t>
  </si>
  <si>
    <t>5C1A4325</t>
  </si>
  <si>
    <t>Kansas</t>
  </si>
  <si>
    <t>KS</t>
  </si>
  <si>
    <t>Topeka</t>
  </si>
  <si>
    <t>Wichita</t>
  </si>
  <si>
    <t>400BAB02</t>
  </si>
  <si>
    <t>Kentucky[A]</t>
  </si>
  <si>
    <t>KY</t>
  </si>
  <si>
    <t>Frankfort</t>
  </si>
  <si>
    <t>Louisville</t>
  </si>
  <si>
    <t>45CEDD9C</t>
  </si>
  <si>
    <t>Louisiana</t>
  </si>
  <si>
    <t>LA</t>
  </si>
  <si>
    <t>Baton Rouge</t>
  </si>
  <si>
    <t>New Orleans</t>
  </si>
  <si>
    <t>B16B5A30</t>
  </si>
  <si>
    <t>Maine</t>
  </si>
  <si>
    <t>ME</t>
  </si>
  <si>
    <t>Augusta</t>
  </si>
  <si>
    <t>Portland</t>
  </si>
  <si>
    <t>5B666054</t>
  </si>
  <si>
    <t>Maryland</t>
  </si>
  <si>
    <t>MD</t>
  </si>
  <si>
    <t>Annapolis</t>
  </si>
  <si>
    <t>Baltimore</t>
  </si>
  <si>
    <t>88815E60</t>
  </si>
  <si>
    <t>Massachusetts[A]</t>
  </si>
  <si>
    <t>MA</t>
  </si>
  <si>
    <t>Boston</t>
  </si>
  <si>
    <t>559B74BA</t>
  </si>
  <si>
    <t>Michigan</t>
  </si>
  <si>
    <t>MI</t>
  </si>
  <si>
    <t>Lansing</t>
  </si>
  <si>
    <t>Detroit</t>
  </si>
  <si>
    <t>DB1C3870</t>
  </si>
  <si>
    <t>Minnesota</t>
  </si>
  <si>
    <t>MN</t>
  </si>
  <si>
    <t>Saint Paul</t>
  </si>
  <si>
    <t>Minneapolis</t>
  </si>
  <si>
    <t>E3AA0E97</t>
  </si>
  <si>
    <t>Mississippi</t>
  </si>
  <si>
    <t>MS</t>
  </si>
  <si>
    <t>Jackson</t>
  </si>
  <si>
    <t>AEBC7F78</t>
  </si>
  <si>
    <t>Missouri</t>
  </si>
  <si>
    <t>MO</t>
  </si>
  <si>
    <t>Jefferson City</t>
  </si>
  <si>
    <t>Kansas City</t>
  </si>
  <si>
    <t>A683E9DA</t>
  </si>
  <si>
    <t>Montana</t>
  </si>
  <si>
    <t>MT</t>
  </si>
  <si>
    <t>Helena</t>
  </si>
  <si>
    <t>Billings</t>
  </si>
  <si>
    <t>E194251E</t>
  </si>
  <si>
    <t>Nebraska</t>
  </si>
  <si>
    <t>NE</t>
  </si>
  <si>
    <t>Lincoln</t>
  </si>
  <si>
    <t>Omaha</t>
  </si>
  <si>
    <t>D95BC2E1</t>
  </si>
  <si>
    <t>Nevada</t>
  </si>
  <si>
    <t>NV</t>
  </si>
  <si>
    <t>Carson City</t>
  </si>
  <si>
    <t>Las Vegas</t>
  </si>
  <si>
    <t>2E6760E3</t>
  </si>
  <si>
    <t>New Hampshire</t>
  </si>
  <si>
    <t>NH</t>
  </si>
  <si>
    <t>Concord</t>
  </si>
  <si>
    <t>Manchester</t>
  </si>
  <si>
    <t>0C62603D</t>
  </si>
  <si>
    <t>New Jersey</t>
  </si>
  <si>
    <t>NJ</t>
  </si>
  <si>
    <t>Trenton</t>
  </si>
  <si>
    <t>Newark</t>
  </si>
  <si>
    <t>11523943</t>
  </si>
  <si>
    <t>New Mexico</t>
  </si>
  <si>
    <t>NM</t>
  </si>
  <si>
    <t>Santa Fe</t>
  </si>
  <si>
    <t>Albuquerque</t>
  </si>
  <si>
    <t>0606D59F</t>
  </si>
  <si>
    <t>New York</t>
  </si>
  <si>
    <t>NY</t>
  </si>
  <si>
    <t>Albany</t>
  </si>
  <si>
    <t>New York City</t>
  </si>
  <si>
    <t>27D4910A</t>
  </si>
  <si>
    <t>North Carolina</t>
  </si>
  <si>
    <t>NC</t>
  </si>
  <si>
    <t>Raleigh</t>
  </si>
  <si>
    <t>Charlotte</t>
  </si>
  <si>
    <t>3845F494</t>
  </si>
  <si>
    <t>North Dakota</t>
  </si>
  <si>
    <t>ND</t>
  </si>
  <si>
    <t>Bismarck</t>
  </si>
  <si>
    <t>Fargo</t>
  </si>
  <si>
    <t>FFBB219A</t>
  </si>
  <si>
    <t>Ohio</t>
  </si>
  <si>
    <t>OH</t>
  </si>
  <si>
    <t>Columbus</t>
  </si>
  <si>
    <t>6DD7AD6A</t>
  </si>
  <si>
    <t>Oklahoma</t>
  </si>
  <si>
    <t>OK</t>
  </si>
  <si>
    <t>Oklahoma City</t>
  </si>
  <si>
    <t>163D7922</t>
  </si>
  <si>
    <t>Oregon</t>
  </si>
  <si>
    <t>OR</t>
  </si>
  <si>
    <t>Salem</t>
  </si>
  <si>
    <t>4177F472</t>
  </si>
  <si>
    <t>Pennsylvania[A]</t>
  </si>
  <si>
    <t>PA</t>
  </si>
  <si>
    <t>Harrisburg</t>
  </si>
  <si>
    <t>Philadelphia</t>
  </si>
  <si>
    <t>3F06CFE2</t>
  </si>
  <si>
    <t>Rhode Island</t>
  </si>
  <si>
    <t>RI</t>
  </si>
  <si>
    <t>Providence</t>
  </si>
  <si>
    <t>744F9A18</t>
  </si>
  <si>
    <t>South Carolina</t>
  </si>
  <si>
    <t>SC</t>
  </si>
  <si>
    <t>Columbia</t>
  </si>
  <si>
    <t>Charleston</t>
  </si>
  <si>
    <t>6C2EB397</t>
  </si>
  <si>
    <t>South Dakota</t>
  </si>
  <si>
    <t>SD</t>
  </si>
  <si>
    <t>Pierre</t>
  </si>
  <si>
    <t>Sioux Falls</t>
  </si>
  <si>
    <t>49679C12</t>
  </si>
  <si>
    <t>Tennessee</t>
  </si>
  <si>
    <t>TN</t>
  </si>
  <si>
    <t>Nashville</t>
  </si>
  <si>
    <t>A4E54645</t>
  </si>
  <si>
    <t>Texas</t>
  </si>
  <si>
    <t>TX</t>
  </si>
  <si>
    <t>Austin</t>
  </si>
  <si>
    <t>Houston</t>
  </si>
  <si>
    <t>323161FA</t>
  </si>
  <si>
    <t>Utah</t>
  </si>
  <si>
    <t>UT</t>
  </si>
  <si>
    <t>Salt Lake City</t>
  </si>
  <si>
    <t>98D9C655</t>
  </si>
  <si>
    <t>Vermont</t>
  </si>
  <si>
    <t>VT</t>
  </si>
  <si>
    <t>Montpelier</t>
  </si>
  <si>
    <t>Burlington</t>
  </si>
  <si>
    <t>D20BB9E5</t>
  </si>
  <si>
    <t>Virginia[A]</t>
  </si>
  <si>
    <t>VA</t>
  </si>
  <si>
    <t>Richmond</t>
  </si>
  <si>
    <t>Virginia Beach</t>
  </si>
  <si>
    <t>8D85D1E2</t>
  </si>
  <si>
    <t>Washington</t>
  </si>
  <si>
    <t>WA</t>
  </si>
  <si>
    <t>Olympia</t>
  </si>
  <si>
    <t>Seattle</t>
  </si>
  <si>
    <t>D1F0C35E</t>
  </si>
  <si>
    <t>West Virginia</t>
  </si>
  <si>
    <t>WV</t>
  </si>
  <si>
    <t>C28AA455</t>
  </si>
  <si>
    <t>Wisconsin</t>
  </si>
  <si>
    <t>WI</t>
  </si>
  <si>
    <t>Madison</t>
  </si>
  <si>
    <t>Milwaukee</t>
  </si>
  <si>
    <t>E2942E5D</t>
  </si>
  <si>
    <t>Wyoming</t>
  </si>
  <si>
    <t>WY</t>
  </si>
  <si>
    <t>Cheyenne</t>
  </si>
  <si>
    <t>QuestionID</t>
  </si>
  <si>
    <t>QuestionType</t>
  </si>
  <si>
    <t>QuestionText</t>
  </si>
  <si>
    <t>ParentID</t>
  </si>
  <si>
    <t>ParentQuestion (ref)</t>
  </si>
  <si>
    <t>ZCode</t>
  </si>
  <si>
    <t>ZCodeDesc</t>
  </si>
  <si>
    <t>Dimension(s)1</t>
  </si>
  <si>
    <t>Dimension(s)2</t>
  </si>
  <si>
    <t>Dimension(s)3</t>
  </si>
  <si>
    <t>B8406097</t>
  </si>
  <si>
    <t>list</t>
  </si>
  <si>
    <t>Do you have any education or literacy-related challenges that affect your daily life or health (for example, trouble reading forms or not finishing school)?</t>
  </si>
  <si>
    <t>Header Questions</t>
  </si>
  <si>
    <t>| Z55 | Problems related to education and literacy</t>
  </si>
  <si>
    <t>Mental Wellness</t>
  </si>
  <si>
    <t>1EBD0501</t>
  </si>
  <si>
    <t>Do you have difficulty reading or writing simple material (for example, do you consider yourself illiterate or having very low reading skills)?</t>
  </si>
  <si>
    <t>| Z55.0 | Illiteracy and low-level literacy</t>
  </si>
  <si>
    <t>45931CDA</t>
  </si>
  <si>
    <t>Did you lack access to schooling or were you unable to attend school when you were younger?</t>
  </si>
  <si>
    <t>| Z55.1 | Schooling unavailable and unattainable</t>
  </si>
  <si>
    <t>Fiscal Wellness</t>
  </si>
  <si>
    <t>11F1555C</t>
  </si>
  <si>
    <t>Have you experienced failing important exams in school that affected your education progress?</t>
  </si>
  <si>
    <t>| Z55.2 | Failed school examinations</t>
  </si>
  <si>
    <t>3C527398</t>
  </si>
  <si>
    <t>Did you struggle with school performance or underachieve academically relative to your potential?</t>
  </si>
  <si>
    <t>| Z55.3 | Underachievement in school</t>
  </si>
  <si>
    <t>E06E8D35</t>
  </si>
  <si>
    <t>While in school, did you have serious trouble adjusting or frequent conflicts with teachers or classmates?</t>
  </si>
  <si>
    <t>| Z55.4 | Educational maladjustment and discord with teachers and classmates</t>
  </si>
  <si>
    <t>AB71933D</t>
  </si>
  <si>
    <t>Is your highest completed education less than a high school diploma or GED?</t>
  </si>
  <si>
    <t>| Z55.5 | Less than a high school diploma</t>
  </si>
  <si>
    <t>4F7603A1</t>
  </si>
  <si>
    <t>Do you have trouble understanding health information or instructions from doctors due to difficulty with reading or language?</t>
  </si>
  <si>
    <t>| Z55.6 | Problems related to health literacy</t>
  </si>
  <si>
    <t>Physical Wellness</t>
  </si>
  <si>
    <t>5D6A8541</t>
  </si>
  <si>
    <t>Are there any other education or learning issues affecting you that we haven’t discussed?</t>
  </si>
  <si>
    <t>| Z55.8 | Other problems related to education and literacy</t>
  </si>
  <si>
    <t>C32B4C12</t>
  </si>
  <si>
    <t>Are you currently having any issues with work or employment (such as being unemployed, trouble finding work, or problems at your job)?</t>
  </si>
  <si>
    <t>| Z56 | Problems related to employment and unemployment</t>
  </si>
  <si>
    <t>Occupational Wellness</t>
  </si>
  <si>
    <t>3395B462</t>
  </si>
  <si>
    <t>Are you currently unemployed (not working and seeking work)?”</t>
  </si>
  <si>
    <t>| Z56.0 | Unemployment, unspecified</t>
  </si>
  <si>
    <t>B18E0CAD</t>
  </si>
  <si>
    <t>Have you recently had to change jobs or been forced to switch your job unexpectedly?</t>
  </si>
  <si>
    <t>| Z56.1 | Change of job</t>
  </si>
  <si>
    <t>E4F255AB</t>
  </si>
  <si>
    <t>Do you feel your job is at risk or worry about losing your job in the near future?</t>
  </si>
  <si>
    <t>| Z56.2 | Threat of job loss</t>
  </si>
  <si>
    <t>CC9C3580</t>
  </si>
  <si>
    <t>Is your work schedule very stressful or demanding (e.g., very long hours or erratic shifts) in a way that’s impacting your health or life?</t>
  </si>
  <si>
    <t>| Z56.3 | Stressful work schedule</t>
  </si>
  <si>
    <t>EAFC3E41</t>
  </si>
  <si>
    <t>Are you experiencing serious conflicts or harassment with your supervisor or coworkers at your workplace?</t>
  </si>
  <si>
    <t>| Z56.4 | Discord with boss and workmates</t>
  </si>
  <si>
    <t>9A2E980A</t>
  </si>
  <si>
    <t>Is your work environment hostile, unsafe, or otherwise very unpleasant for you?</t>
  </si>
  <si>
    <t>| Z56.5 | Uncongenial work environment</t>
  </si>
  <si>
    <t>DE5F8612</t>
  </si>
  <si>
    <t>Does your job cause you other significant physical or mental strain (e.g. excessive stress or physical exhaustion not already mentioned)?</t>
  </si>
  <si>
    <t>| Z56.6 | Other physical and mental strain related to work</t>
  </si>
  <si>
    <t>9C29E8B2</t>
  </si>
  <si>
    <t>Are there any other work or employment issues affecting you that we haven’t covered?</t>
  </si>
  <si>
    <t>| Z56.8 | Other problems related to employment</t>
  </si>
  <si>
    <t>46C950F4</t>
  </si>
  <si>
    <t>Does your job expose you to any physical hazards or substances (like loud noise, radiation, dust, chemicals, extreme temperatures) that could affect your health?</t>
  </si>
  <si>
    <t>| Z57 | Occupational exposure to risk factors</t>
  </si>
  <si>
    <t>0B490817</t>
  </si>
  <si>
    <t>Are you regularly exposed to very loud noise at work (enough to require shouting or that could damage your hearing)?</t>
  </si>
  <si>
    <t>| Z57.0 | Occupational exposure to noise</t>
  </si>
  <si>
    <t>4F256E4B</t>
  </si>
  <si>
    <t>At your job, are you exposed to radiation (e.g., X-rays, radioactive materials) as part of your work duties?</t>
  </si>
  <si>
    <t>| Z57.1 | Occupational exposure to radiation</t>
  </si>
  <si>
    <t>BD41FA5B</t>
  </si>
  <si>
    <t>Do you work in an environment with a lot of dust, fumes, or poor air quality (such as construction, mining, etc.)?</t>
  </si>
  <si>
    <t>| Z57.2 | Occupational exposure to dust</t>
  </si>
  <si>
    <t>DC782A8E</t>
  </si>
  <si>
    <t>Are you exposed to secondhand smoke or other airborne chemicals/irritants at work (besides dust or standard pollutants)?</t>
  </si>
  <si>
    <t>| Z57.3 | Occupational exposure to other air contaminants</t>
  </si>
  <si>
    <t>D2D97CD3</t>
  </si>
  <si>
    <t>Do you handle pesticides or other toxic chemicals in agricultural work?</t>
  </si>
  <si>
    <t>| Z57.4 | Occupational exposure to toxic agents in agriculture</t>
  </si>
  <si>
    <t>117CFD42</t>
  </si>
  <si>
    <t>Are you exposed to toxic substances in a non-agricultural industry (e.g., industrial chemicals, solvents, or heavy metals at a factory job)?</t>
  </si>
  <si>
    <t>| Z57.5 | Occupational exposure to toxic agents in other industries</t>
  </si>
  <si>
    <t>CD0E9139</t>
  </si>
  <si>
    <t>Does your work expose you to extreme heat or cold for long periods (such as working in freezers or outdoors in high heat)?</t>
  </si>
  <si>
    <t>| Z57.6 | Occupational exposure to extreme temperature</t>
  </si>
  <si>
    <t>2C5C2EDE</t>
  </si>
  <si>
    <t>Do you use heavy machinery or tools at work that produce strong vibrations (e.g., jackhammers, drills)?</t>
  </si>
  <si>
    <t>| Z57.7 | Occupational exposure to vibration</t>
  </si>
  <si>
    <t>D8F76697</t>
  </si>
  <si>
    <t>Are there any other hazardous exposures or conditions in your workplace affecting your health that we haven’t discussed?</t>
  </si>
  <si>
    <t>| Z57.8 | Other occupational exposure to risk factors</t>
  </si>
  <si>
    <t>FFFC75E7</t>
  </si>
  <si>
    <t>Are there any environmental issues where you live that affect your health or daily life (for example, unsafe drinking water, pollution, or other hazards in your surroundings)?</t>
  </si>
  <si>
    <t>| Z58 | Problems related to physical environment</t>
  </si>
  <si>
    <t>55B2AE8C</t>
  </si>
  <si>
    <t>Outside of work, are you regularly exposed to very loud noise in your living environment (for example, from nearby traffic, airports, or other constant loud sources)?</t>
  </si>
  <si>
    <t>| Z58.0 | Exposure to noise (environmental)</t>
  </si>
  <si>
    <t>F0ADE867</t>
  </si>
  <si>
    <t>Does the air in your home or neighborhood feel polluted (e.g., smoke, smog, factory emissions) in a way that worries you or affects your breathing?</t>
  </si>
  <si>
    <t>| Z58.1 | Exposure to air pollution</t>
  </si>
  <si>
    <t>2A9BB950</t>
  </si>
  <si>
    <t>Are you concerned about pollution or contamination in your local water supply (for instance, industrial runoff or unsafe river/lake water nearby)?</t>
  </si>
  <si>
    <t>| Z58.2 | Exposure to water pollution</t>
  </si>
  <si>
    <t>65DAEC0A</t>
  </si>
  <si>
    <t>Do you live near contaminated land or soil (like a toxic waste site or areas with high levels of chemicals) that you think might be affecting your health?</t>
  </si>
  <si>
    <t>| Z58.3 | Exposure to soil pollution</t>
  </si>
  <si>
    <t>5DA256AC</t>
  </si>
  <si>
    <t>Is there any source of radiation in your living environment (for example, living near a radiation source or nuclear facility) that you’re exposed to?</t>
  </si>
  <si>
    <t>| Z58.4 | Exposure to radiation (environmental)</t>
  </si>
  <si>
    <t>88C555C2</t>
  </si>
  <si>
    <t>Are you exposed to any other forms of pollution or environmental toxins (like hazardous waste, heavy smog, or chemical odors) not already mentioned?</t>
  </si>
  <si>
    <t>| Z58.5 | Exposure to other pollution</t>
  </si>
  <si>
    <t>3113A63E</t>
  </si>
  <si>
    <t>Is your access to drinking water inadequate or unsafe (for example, do you lack running water or have water that isn’t clean)?</t>
  </si>
  <si>
    <t>| Z58.6 | Inadequate drinking-water supply</t>
  </si>
  <si>
    <t>9F47AD89</t>
  </si>
  <si>
    <t>Do you frequently breathe in secondhand smoke where you live (for instance, someone regularly smokes inside your home)?</t>
  </si>
  <si>
    <t>| Z58.7 | Exposure to tobacco smoke (environmental)</t>
  </si>
  <si>
    <t>6BF765B9</t>
  </si>
  <si>
    <t>Are there any other environmental problems in your living area affecting you that we haven’t covered (e.g., lack of transportation, neighborhood safety hazards)?</t>
  </si>
  <si>
    <t>| Z58.8 | Other problems related to physical environment</t>
  </si>
  <si>
    <t>B0C97E1A</t>
  </si>
  <si>
    <t>In the past year, have you had any problems with housing or finances – for example, difficulty affording a place to live, homelessness, or trouble getting enough food?</t>
  </si>
  <si>
    <t>| Z59 | Problems related to housing and economic circumstances</t>
  </si>
  <si>
    <t>F8B2E3D9</t>
  </si>
  <si>
    <t>Are you currently homeless or without a stable place to live (including living in a shelter, on the street, or temporarily staying with others)?</t>
  </si>
  <si>
    <t>| Z59.0 | Homelessness</t>
  </si>
  <si>
    <t>5EF27CAB</t>
  </si>
  <si>
    <t>Is your current housing inadequate or substandard (for instance, overcrowded, lacking heating/electricity, or unsafe conditions)?</t>
  </si>
  <si>
    <t>| Z59.1 | Inadequate housing</t>
  </si>
  <si>
    <t>CC532AE2</t>
  </si>
  <si>
    <t>Are you having serious conflicts with the people around your home – such as ongoing disputes with neighbors, roommates, or your landlord – that are affecting your living situation?</t>
  </si>
  <si>
    <t>| Z59.2 | Discord with neighbors, lodgers and landlord</t>
  </si>
  <si>
    <t>B0159B49</t>
  </si>
  <si>
    <t>Do you live in a group home, institution, or long-term facility, and are you experiencing problems with that living situation?</t>
  </si>
  <si>
    <t>| Z59.3 | Problems related to living in residential institution</t>
  </si>
  <si>
    <t>FF2AD087</t>
  </si>
  <si>
    <t>Have you struggled to get enough food to eat, or to access safe, clean drinking water in the past year?</t>
  </si>
  <si>
    <t>| Z59.4 | Lack of adequate food (and safe drinking water)</t>
  </si>
  <si>
    <t>F709EA06</t>
  </si>
  <si>
    <t>Are you living in extreme poverty – for example, having virtually no income or resources such that you cannot afford basic necessities at all?</t>
  </si>
  <si>
    <t>| Z59.5 | Extreme poverty</t>
  </si>
  <si>
    <t>3231A105</t>
  </si>
  <si>
    <t>Is your household income very low, making it difficult to make ends meet for essentials (even if you have some income)?</t>
  </si>
  <si>
    <t>| Z59.6 | Low income</t>
  </si>
  <si>
    <t>2FC07CF4</t>
  </si>
  <si>
    <t>Have you been unable to get adequate help from social services or welfare programs that you need (for instance, you applied or need assistance but aren’t receiving enough support)?</t>
  </si>
  <si>
    <t>| Z59.7 | Insufficient social insurance and welfare support</t>
  </si>
  <si>
    <t>E33FBE7A</t>
  </si>
  <si>
    <t>Are there any other housing or financial problems affecting you that we haven’t already talked about?</t>
  </si>
  <si>
    <t>| Z59.8 | Other housing/economic problems</t>
  </si>
  <si>
    <t>FD81D6F4</t>
  </si>
  <si>
    <t>Are there any social or community challenges affecting your well-being (for example, feeling very isolated, difficulty adjusting to a life change, or feeling discriminated against)?</t>
  </si>
  <si>
    <t>| Z60 | Problems related to social environment</t>
  </si>
  <si>
    <t>Social Wellness</t>
  </si>
  <si>
    <t>831A1665</t>
  </si>
  <si>
    <t>Are you having difficulty adjusting to a major life change or transition (such as recent retirement, becoming a new parent, or other big life-stage change)?</t>
  </si>
  <si>
    <t>| Z60.0 | Problems of adjustment to life-cycle transitions</t>
  </si>
  <si>
    <t>38F27C92</t>
  </si>
  <si>
    <t>Do you live alone, and if so, do you feel that living alone is causing you difficulties (for instance, feelings of loneliness or trouble managing on your own)?</t>
  </si>
  <si>
    <t>| Z60.2 | Problems related to living alone</t>
  </si>
  <si>
    <t>BC9A5FDE</t>
  </si>
  <si>
    <t>Have you had difficulties adjusting to a new culture or community (for example, after moving to a new country or region)?</t>
  </si>
  <si>
    <t>| Z60.3 | Acculturation difficulty</t>
  </si>
  <si>
    <t>87011B05</t>
  </si>
  <si>
    <t>Do you feel socially excluded or rejected by others (for example, feeling unwelcome or shunned in your community)?</t>
  </si>
  <si>
    <t>| Z60.4 | Social exclusion and rejection</t>
  </si>
  <si>
    <t>A70AA4CD</t>
  </si>
  <si>
    <t>Have you experienced discrimination or persecution (or feel that you have) based on who you are (for instance, due to race, ethnicity, religion, sexual orientation, etc.)?</t>
  </si>
  <si>
    <t>| Z60.5 | Target of (perceived) adverse discrimination and persecution</t>
  </si>
  <si>
    <t>D22DA422</t>
  </si>
  <si>
    <t>Are there any other social or community-related problems affecting you that we haven’t covered?</t>
  </si>
  <si>
    <t>| Z60.8 | Other problems related to social environment</t>
  </si>
  <si>
    <t>B6079044</t>
  </si>
  <si>
    <t>Thinking about your childhood, did you experience any significant problems at home or with your caregivers that still affect you (for example, being in foster care, or any form of abuse or serious family conflict)?</t>
  </si>
  <si>
    <t>| Z62 | Problems related to upbringing</t>
  </si>
  <si>
    <t>0B132E06</t>
  </si>
  <si>
    <t>Growing up, did you often lack parental supervision or feel your parents/guardians weren’t adequately watching or guiding you?</t>
  </si>
  <si>
    <t>| Z62.0 | Inadequate parental supervision and control</t>
  </si>
  <si>
    <t>8540A5B7</t>
  </si>
  <si>
    <t>In your childhood, did you feel your parent or guardian was overprotective or overly controlling in a way that was problematic for you?</t>
  </si>
  <si>
    <t>| Z62.1 | Parental overprotection</t>
  </si>
  <si>
    <t>F198FFA3</t>
  </si>
  <si>
    <t>Were you raised away from your biological parents – for example, in foster care, by other relatives, or in a group home/institution during your childhood?</t>
  </si>
  <si>
    <t>| Z62.2 | Upbringing away from parents (e.g., foster care)</t>
  </si>
  <si>
    <t>35B271F0</t>
  </si>
  <si>
    <t>Did you experience hostility from your family as a child, or were you unfairly blamed or scapegoated for problems in the family?</t>
  </si>
  <si>
    <t>| Z62.3 | Hostility towards and scapegoating of child</t>
  </si>
  <si>
    <t>00C4E291</t>
  </si>
  <si>
    <t>Did your parents or caregivers put excessive or inappropriate pressure on you (for instance, unrealistically high expectations or extreme pressure to succeed) when you were growing up?</t>
  </si>
  <si>
    <t>| Z62.6 | Inappropriate (excessive) parental pressure</t>
  </si>
  <si>
    <t>0952B8F8</t>
  </si>
  <si>
    <t>Were there any other major issues in your upbringing (for example, significant family conflicts or other difficulties in childhood) that we haven’t discussed?</t>
  </si>
  <si>
    <t>| Z62.8 | Other specified problems related to upbringing</t>
  </si>
  <si>
    <t>113955DA</t>
  </si>
  <si>
    <t>Are there any current family or household issues causing you stress or difficulties (for example, marital or partner problems, a family member’s illness, or other family conflicts)?</t>
  </si>
  <si>
    <t>| Z63 | Other problems related to primary support group (family)</t>
  </si>
  <si>
    <t>560EA5C0</t>
  </si>
  <si>
    <t>Are you having serious problems in your relationship with your spouse or partner (such as ongoing conflict or distress in your marriage/partnership)?</t>
  </si>
  <si>
    <t>| Z63.0 | Problems in relationship with spouse or partner</t>
  </si>
  <si>
    <t>89089094</t>
  </si>
  <si>
    <t>Do you have significant conflict or problems with your in-laws (your spouse/partner’s family) that affect your well-being or living situation?</t>
  </si>
  <si>
    <t>| Z63.1 | Problems in relationship with in-laws</t>
  </si>
  <si>
    <t>5936BCC8</t>
  </si>
  <si>
    <t>Do you feel you do not have adequate support from your family when you need help or emotional support?</t>
  </si>
  <si>
    <t>| Z63.2 | Inadequate family support</t>
  </si>
  <si>
    <t>786CED7C</t>
  </si>
  <si>
    <t>Is a close family member currently absent from your life (for example, a family member who has left, is estranged, or is away on deployment) and is that causing you difficulty?</t>
  </si>
  <si>
    <t>| Z63.3 | Absence of family member (e.g., due to separation)</t>
  </si>
  <si>
    <t>3E44D333</t>
  </si>
  <si>
    <t>Have you recently experienced the death or disappearance of a family member who was close to you?</t>
  </si>
  <si>
    <t>| Z63.4 | Disappearance and death of family member</t>
  </si>
  <si>
    <t>8275C13B</t>
  </si>
  <si>
    <t>Are you currently going through a separation or divorce (or a major breakup in your family)?</t>
  </si>
  <si>
    <t>| Z63.5 | Disruption of family by separation or divorce</t>
  </si>
  <si>
    <t>EEE596E2</t>
  </si>
  <si>
    <t>Do you currently care for a dependent family member at home who needs a lot of care (for example, a sick or disabled child, spouse, or elder), and is that responsibility causing stress or burden?</t>
  </si>
  <si>
    <t>| Z63.6 | Dependent relative needing care at home</t>
  </si>
  <si>
    <t>575ECBFF</t>
  </si>
  <si>
    <t>Has your family experienced any other major stressful event recently (for example, a family member returning from military deployment, a major illness, or other crisis) that affects the household?</t>
  </si>
  <si>
    <t>| Z63.7 | Other stressful life events affecting family/household</t>
  </si>
  <si>
    <t>BDEFB49E</t>
  </si>
  <si>
    <t>Does anyone in your immediate family have a serious alcohol or drug addiction problem that is affecting you or your household?</t>
  </si>
  <si>
    <t>| Z63.72 | Alcoholism and drug addiction in family</t>
  </si>
  <si>
    <t>8A6568DB</t>
  </si>
  <si>
    <t>Are there any other family or household-related problems causing you stress that we haven’t already discussed?</t>
  </si>
  <si>
    <t>| Z63.8 | Other specified family circumstances</t>
  </si>
  <si>
    <t>0F41CAF2</t>
  </si>
  <si>
    <t>Are you facing any personal life situations such as pregnancy-related concerns or conflicts with counseling/services that are causing you stress?</t>
  </si>
  <si>
    <t>| Z64 | Problems related to certain psychosocial circumstances</t>
  </si>
  <si>
    <t>D591F238</t>
  </si>
  <si>
    <t>Are you or your partner currently pregnant in a situation where the pregnancy is unplanned or unwanted?</t>
  </si>
  <si>
    <t>| Z64.0 | Problems related to unwanted pregnancy</t>
  </si>
  <si>
    <t>E36EF7DD</t>
  </si>
  <si>
    <t>Do you have multiple children or frequent pregnancies that are causing stress or difficulty in caring for your family?</t>
  </si>
  <si>
    <t>| Z64.1 | Problems related to multiparity</t>
  </si>
  <si>
    <t>DC09BB94</t>
  </si>
  <si>
    <t>Are you having conflict or dissatisfaction with any counselor, case worker, or advisor who is helping you (for example, disagreements with their advice or approach)?</t>
  </si>
  <si>
    <t>| Z64.4 | Discord with counselors (e.g., disagreement with advice or services)</t>
  </si>
  <si>
    <t>DDA40C04</t>
  </si>
  <si>
    <t>Are you dealing with any legal issues or have you been through events like crime or disasters that affect your health and well-being?</t>
  </si>
  <si>
    <t>| Z65 | Problems related to other psychosocial circumstances</t>
  </si>
  <si>
    <t>3CF1A9E9</t>
  </si>
  <si>
    <t>Have you ever been convicted of a crime or had legal charges (even if you were not put in jail) that are now affecting your life (for example, making it hard to get a job)?</t>
  </si>
  <si>
    <t>| Z65.0 | Conviction in civil or criminal proceedings without imprisonment</t>
  </si>
  <si>
    <t>Legal / Emergency</t>
  </si>
  <si>
    <t>44C3A277</t>
  </si>
  <si>
    <t>Have you ever been imprisoned or incarcerated in jail/prison?</t>
  </si>
  <si>
    <t>| Z65.1 | Imprisonment and other incarceration</t>
  </si>
  <si>
    <t>1091F0F1</t>
  </si>
  <si>
    <t>Were you released from jail or prison recently (for example, within the past year), and are you facing challenges adjusting back to the community?</t>
  </si>
  <si>
    <t>| Z65.2 | Problems related to release from prison</t>
  </si>
  <si>
    <t>4ECC7636</t>
  </si>
  <si>
    <t>Are you currently facing any other legal problems or court cases (such as ongoing lawsuits, probation, custody disputes) that are causing you stress or difficulties?</t>
  </si>
  <si>
    <t>| Z65.3 | Other legal circumstances (including legal difficulties not elsewhere classified)</t>
  </si>
  <si>
    <t>44257430</t>
  </si>
  <si>
    <t>Have you been a victim of a crime or violence (for example, assault, domestic violence, or an act of terrorism) that is impacting you now?</t>
  </si>
  <si>
    <t>| Z65.4 | Victim of crime and terrorism</t>
  </si>
  <si>
    <t>65DBB3E0</t>
  </si>
  <si>
    <t>Have you been directly affected by a major disaster, war, or conflict (for example, survived a natural disaster or armed conflict) that has impacted your life or health?</t>
  </si>
  <si>
    <t>| Z65.5 | Exposure to disaster, war and other hostilities</t>
  </si>
  <si>
    <t>903CD25C</t>
  </si>
  <si>
    <t>Are there any other significant legal or extreme life events affecting you that we haven’t already discussed?</t>
  </si>
  <si>
    <t>| Z65.8 | Other specified psychosocial circumstances</t>
  </si>
  <si>
    <t>6E37D1B6</t>
  </si>
  <si>
    <t>At your workplace, are you regularly exposed to secondhand tobacco smoke?</t>
  </si>
  <si>
    <t>| Z57.31 | Occupational exposure to environmental tobacco smoke</t>
  </si>
  <si>
    <t>A1E5C431</t>
  </si>
  <si>
    <t>Are you exposed to dust, fumes, or harmful chemicals at work on a regular basis?</t>
  </si>
  <si>
    <t>| Z57.39 | Occupational exposure to other air contaminants</t>
  </si>
  <si>
    <t>080DE108</t>
  </si>
  <si>
    <t>Are you currently in the custody of child welfare services?</t>
  </si>
  <si>
    <t>| Z62.21 | Child in welfare custody</t>
  </si>
  <si>
    <t>7641E893</t>
  </si>
  <si>
    <t>Were you raised in an orphanage, group home, or similar institution?</t>
  </si>
  <si>
    <t>| Z62.22 | Institutional upbringing</t>
  </si>
  <si>
    <t>74A41D96</t>
  </si>
  <si>
    <t>Did you experience emotional abuse while growing up?</t>
  </si>
  <si>
    <t>| Z62.811 | Personal history of psychological abuse in childhood</t>
  </si>
  <si>
    <t>70480543</t>
  </si>
  <si>
    <t>Were your basic emotional or physical needs often unmet during childhood?</t>
  </si>
  <si>
    <t>| Z62.812 | Personal history of neglect in childhood</t>
  </si>
  <si>
    <t>CFAD1EE3</t>
  </si>
  <si>
    <t>Did you experience any kind of abuse growing up that hasn’t already been mentioned?</t>
  </si>
  <si>
    <t>| Z62.819 | Personal history of unspecified abuse in childhood</t>
  </si>
  <si>
    <t>5FDB59A1</t>
  </si>
  <si>
    <t>Are you currently involved in a significant parent-child conflict?</t>
  </si>
  <si>
    <t>| Z62.82 | Parent-child conflict</t>
  </si>
  <si>
    <t>E57398D1</t>
  </si>
  <si>
    <t>Is there a significant conflict in a foster parent-child relationship in your household?</t>
  </si>
  <si>
    <t>| Z62.822 | Parent-foster child conflict</t>
  </si>
  <si>
    <t>6F9422B2</t>
  </si>
  <si>
    <t>Is there ongoing conflict between siblings that’s impacting the household?</t>
  </si>
  <si>
    <t>| Z62.891 | Sibling rivalry</t>
  </si>
  <si>
    <t>D6E0E92A</t>
  </si>
  <si>
    <t>Have you been unable to get needed healthcare because of a lack of nearby facilities or transportation?</t>
  </si>
  <si>
    <t>| Z75.3 | Unavailability of healthcare facilities</t>
  </si>
  <si>
    <t>102A5876</t>
  </si>
  <si>
    <t>Have you been unable to get needed support because programs weren’t available or accessible?</t>
  </si>
  <si>
    <t>| Z75.4 | Unavailability of other helping agencies</t>
  </si>
  <si>
    <t>Spiritual Wellness</t>
  </si>
  <si>
    <t>ProfileID</t>
  </si>
  <si>
    <t>ProfileType</t>
  </si>
  <si>
    <t>ParticipantProfile</t>
  </si>
  <si>
    <t>PartnerProfile</t>
  </si>
  <si>
    <t>FEAC4304</t>
  </si>
  <si>
    <t>E6639250</t>
  </si>
  <si>
    <t>AFD34C49</t>
  </si>
  <si>
    <t>2F9CDC46</t>
  </si>
  <si>
    <t>7A1A74B8</t>
  </si>
  <si>
    <t>51531C36</t>
  </si>
  <si>
    <t>ProfileTypeID</t>
  </si>
  <si>
    <t>Enrolled Participant</t>
  </si>
  <si>
    <t>Resource Partner</t>
  </si>
  <si>
    <t>Agency</t>
  </si>
  <si>
    <t>03F900E8</t>
  </si>
  <si>
    <t>Employee</t>
  </si>
  <si>
    <t>PartnerName</t>
  </si>
  <si>
    <t>PartnerDescription</t>
  </si>
  <si>
    <t>PrimaryContact(s)</t>
  </si>
  <si>
    <t>Website</t>
  </si>
  <si>
    <t>Logo</t>
  </si>
  <si>
    <t>Anything Helps</t>
  </si>
  <si>
    <t>Housing is the stable foundation from which our clients can begin to heal from homelessness, and the journey there looks different for everyone. Keeping our services flexible allows us to help our clients overcome any challenges or barriers they may encounter along the way.</t>
  </si>
  <si>
    <t>41e1fd2e</t>
  </si>
  <si>
    <t>https://www.anything-helps.org/</t>
  </si>
  <si>
    <t>CommunityPartners_Images/709F6A9B.Logo.055036.png</t>
  </si>
  <si>
    <t>dea4a57c</t>
  </si>
  <si>
    <t>TestPartner</t>
  </si>
  <si>
    <t>25323b4c</t>
  </si>
  <si>
    <t>https://www.ai-designtech.com</t>
  </si>
  <si>
    <t>CommunityPartners_Images/dea4a57c.Logo.032800.jpg</t>
  </si>
  <si>
    <t>9b3f0801</t>
  </si>
  <si>
    <t>First United Methodist Church of Tacoma</t>
  </si>
  <si>
    <t>7caf7f17</t>
  </si>
  <si>
    <t>a696de8c</t>
  </si>
  <si>
    <t>Temple Beth El</t>
  </si>
  <si>
    <t>ea283a73</t>
  </si>
  <si>
    <t>38a62c59</t>
  </si>
  <si>
    <t>Multicare DCR</t>
  </si>
  <si>
    <t>1ff79172</t>
  </si>
  <si>
    <t>f39fd3dd</t>
  </si>
  <si>
    <t>Juvenile court</t>
  </si>
  <si>
    <t>9b56c2e5</t>
  </si>
  <si>
    <t>3eeeff4e</t>
  </si>
  <si>
    <t>924a7d15</t>
  </si>
  <si>
    <t>24bb25a0</t>
  </si>
  <si>
    <t>Associated Ministries</t>
  </si>
  <si>
    <t>b800cef8</t>
  </si>
  <si>
    <t>43b9ad91</t>
  </si>
  <si>
    <t>Tacoma Rescue Mission</t>
  </si>
  <si>
    <t>b942919b</t>
  </si>
  <si>
    <t>df1f8a0a</t>
  </si>
  <si>
    <t>Funeral Alternatives</t>
  </si>
  <si>
    <t>0553ac11</t>
  </si>
  <si>
    <t>dda5d840</t>
  </si>
  <si>
    <t>New Phoebe House</t>
  </si>
  <si>
    <t>1b1327e5</t>
  </si>
  <si>
    <t>9fd1822c</t>
  </si>
  <si>
    <t>Hope and Cares</t>
  </si>
  <si>
    <t>abbe947d</t>
  </si>
  <si>
    <t>70946221</t>
  </si>
  <si>
    <t>Hope and cares</t>
  </si>
  <si>
    <t>5a6371ad</t>
  </si>
  <si>
    <t>757f5e43</t>
  </si>
  <si>
    <t>Common Good</t>
  </si>
  <si>
    <t>6fe10ad2</t>
  </si>
  <si>
    <t>781c20e3</t>
  </si>
  <si>
    <t>Stolen Youth</t>
  </si>
  <si>
    <t>1077b47d</t>
  </si>
  <si>
    <t>a48d9fd1</t>
  </si>
  <si>
    <t>Scarlet Road</t>
  </si>
  <si>
    <t>15f834db</t>
  </si>
  <si>
    <t>ad14aaad</t>
  </si>
  <si>
    <t>The Financial Education Group</t>
  </si>
  <si>
    <t>Financial Services (Fiscal Wellness Education, Funeral Planning, Death w/ Dignity Planning)</t>
  </si>
  <si>
    <t>268a3691</t>
  </si>
  <si>
    <t>http://www.thefinancialeducationgroup.com</t>
  </si>
  <si>
    <t>DemogID</t>
  </si>
  <si>
    <t>Date of Birth</t>
  </si>
  <si>
    <t>Gender</t>
  </si>
  <si>
    <t>Pronouns</t>
  </si>
  <si>
    <t>Race</t>
  </si>
  <si>
    <t>American Descendent of Slavery</t>
  </si>
  <si>
    <t>Highest Level of Education</t>
  </si>
  <si>
    <t>Level of Income</t>
  </si>
  <si>
    <t>BA959676</t>
  </si>
  <si>
    <t>Male</t>
  </si>
  <si>
    <t>him/his</t>
  </si>
  <si>
    <t>White/Caucasian</t>
  </si>
  <si>
    <t>No</t>
  </si>
  <si>
    <t>College</t>
  </si>
  <si>
    <t>B99D848D</t>
  </si>
  <si>
    <t>4163cc33</t>
  </si>
  <si>
    <t>76CDF370</t>
  </si>
  <si>
    <t>9B92FED4</t>
  </si>
  <si>
    <t>High School Diploma/GED</t>
  </si>
  <si>
    <t>8f766ce6</t>
  </si>
  <si>
    <t>a1054dbe</t>
  </si>
  <si>
    <t>Some College</t>
  </si>
  <si>
    <t>6BC497BE</t>
  </si>
  <si>
    <t>ComMthdID</t>
  </si>
  <si>
    <t>CommunicationMethod</t>
  </si>
  <si>
    <t>0AB57858</t>
  </si>
  <si>
    <t>Phone</t>
  </si>
  <si>
    <t>03CE77EB</t>
  </si>
  <si>
    <t>Text</t>
  </si>
  <si>
    <t>37217EB4</t>
  </si>
  <si>
    <t>Email</t>
  </si>
  <si>
    <t>F123DB7E</t>
  </si>
  <si>
    <t>Other</t>
  </si>
  <si>
    <t>IncomeLvlID</t>
  </si>
  <si>
    <t>Lvl</t>
  </si>
  <si>
    <t>From</t>
  </si>
  <si>
    <t>To</t>
  </si>
  <si>
    <t>Description</t>
  </si>
  <si>
    <t>DBBA00EE</t>
  </si>
  <si>
    <t>Up to $11,600</t>
  </si>
  <si>
    <t>Else up to $47,150</t>
  </si>
  <si>
    <t>Else up to $100,525</t>
  </si>
  <si>
    <t>8D3DCB96</t>
  </si>
  <si>
    <t>Else up to $191,950</t>
  </si>
  <si>
    <t>4020BC1F</t>
  </si>
  <si>
    <t>Else up to $243,725</t>
  </si>
  <si>
    <t>3E6B7568</t>
  </si>
  <si>
    <t>Else up to $609,350</t>
  </si>
  <si>
    <t>2EEDDAA4</t>
  </si>
  <si>
    <t>Not disclosed</t>
  </si>
  <si>
    <t>LvlEdID</t>
  </si>
  <si>
    <t>Levels of Education</t>
  </si>
  <si>
    <t>A442B854</t>
  </si>
  <si>
    <t>5FDA8551</t>
  </si>
  <si>
    <t>1219143D</t>
  </si>
  <si>
    <t>B3CED2BC</t>
  </si>
  <si>
    <t>12th</t>
  </si>
  <si>
    <t>EEDF0DFF</t>
  </si>
  <si>
    <t>11th</t>
  </si>
  <si>
    <t>ED4142C3</t>
  </si>
  <si>
    <t>10th</t>
  </si>
  <si>
    <t>9BB4F094</t>
  </si>
  <si>
    <t>9th</t>
  </si>
  <si>
    <t>19AD48DF</t>
  </si>
  <si>
    <t>8th</t>
  </si>
  <si>
    <t>2907ACD7</t>
  </si>
  <si>
    <t>Not Listed</t>
  </si>
  <si>
    <t>SalutationID</t>
  </si>
  <si>
    <t>Salutation</t>
  </si>
  <si>
    <t>FEB4882E</t>
  </si>
  <si>
    <t>Mr.</t>
  </si>
  <si>
    <t>Ms.</t>
  </si>
  <si>
    <t>EF94F224</t>
  </si>
  <si>
    <t>Mrs.</t>
  </si>
  <si>
    <t>28C6E5B4</t>
  </si>
  <si>
    <t>Dr.</t>
  </si>
  <si>
    <t>RaceID</t>
  </si>
  <si>
    <t>Caucasian/White</t>
  </si>
  <si>
    <t>Black American</t>
  </si>
  <si>
    <t>Hispanic</t>
  </si>
  <si>
    <t>Native American</t>
  </si>
  <si>
    <t>631B435E</t>
  </si>
  <si>
    <t>Asian</t>
  </si>
  <si>
    <t>FC383506</t>
  </si>
  <si>
    <t>PronounID</t>
  </si>
  <si>
    <t>15FABFA4</t>
  </si>
  <si>
    <t>he/him</t>
  </si>
  <si>
    <t>she/her</t>
  </si>
  <si>
    <t>649D0629</t>
  </si>
  <si>
    <t>they/them</t>
  </si>
  <si>
    <t>GenderID</t>
  </si>
  <si>
    <t>Female</t>
  </si>
  <si>
    <t>Trans woman</t>
  </si>
  <si>
    <t>Trans man</t>
  </si>
  <si>
    <t>Non-binary</t>
  </si>
  <si>
    <t>ContactID</t>
  </si>
  <si>
    <t>FirstName</t>
  </si>
  <si>
    <t>LastName</t>
  </si>
  <si>
    <t>ContactOptions</t>
  </si>
  <si>
    <t>EmailPrimary</t>
  </si>
  <si>
    <t>EmailSecondary</t>
  </si>
  <si>
    <t>PhonePrimary</t>
  </si>
  <si>
    <t>EmployeeID</t>
  </si>
  <si>
    <t>UserID</t>
  </si>
  <si>
    <t>Address</t>
  </si>
  <si>
    <t>EnteringEmail</t>
  </si>
  <si>
    <t>3DB38E48</t>
  </si>
  <si>
    <t>Kolbi</t>
  </si>
  <si>
    <t>Christianson</t>
  </si>
  <si>
    <t>kolbi@transitionalcare.net</t>
  </si>
  <si>
    <t>360-764-0279</t>
  </si>
  <si>
    <t>829625C2</t>
  </si>
  <si>
    <t>1902 Yakima Avenue UNIT 2
Tacoma, WA 98405</t>
  </si>
  <si>
    <t>A13B79CB</t>
  </si>
  <si>
    <t>dr. greg</t>
  </si>
  <si>
    <t>jones</t>
  </si>
  <si>
    <t>gregory@tranisitionalcare.net</t>
  </si>
  <si>
    <t>360-539-8899</t>
  </si>
  <si>
    <t>686DE71D</t>
  </si>
  <si>
    <t>003642C3</t>
  </si>
  <si>
    <t>Sandra</t>
  </si>
  <si>
    <t>Morrison</t>
  </si>
  <si>
    <t>sandra@yahoo.com</t>
  </si>
  <si>
    <t>253-555-0566</t>
  </si>
  <si>
    <t>A831B491</t>
  </si>
  <si>
    <t>Mary</t>
  </si>
  <si>
    <t>Johnson</t>
  </si>
  <si>
    <t>mary@yahoo.com</t>
  </si>
  <si>
    <t>253-777-9311</t>
  </si>
  <si>
    <t>409BB314</t>
  </si>
  <si>
    <t>3566544B</t>
  </si>
  <si>
    <t>Maria</t>
  </si>
  <si>
    <t>Ramirez</t>
  </si>
  <si>
    <t>maria@aol.com</t>
  </si>
  <si>
    <t>253-555-8962</t>
  </si>
  <si>
    <t>B2DB10C6</t>
  </si>
  <si>
    <t>4F90F14B</t>
  </si>
  <si>
    <t>Neil</t>
  </si>
  <si>
    <t>Jones</t>
  </si>
  <si>
    <t>5D8572EB</t>
  </si>
  <si>
    <t>Buck</t>
  </si>
  <si>
    <t>Dubois</t>
  </si>
  <si>
    <t>0189E34F</t>
  </si>
  <si>
    <t>Lola</t>
  </si>
  <si>
    <t>Tseudonym</t>
  </si>
  <si>
    <t>Mike</t>
  </si>
  <si>
    <t>Matthias</t>
  </si>
  <si>
    <t>mike@anythinghelps.org</t>
  </si>
  <si>
    <t>4F90F14C</t>
  </si>
  <si>
    <t>PrayPhone</t>
  </si>
  <si>
    <t>2.0 - #1</t>
  </si>
  <si>
    <t>38c58eda</t>
  </si>
  <si>
    <t>Jennifer</t>
  </si>
  <si>
    <t>G</t>
  </si>
  <si>
    <t>74ff4c03</t>
  </si>
  <si>
    <t>Joe</t>
  </si>
  <si>
    <t>Shmoe</t>
  </si>
  <si>
    <t>a81d2cff</t>
  </si>
  <si>
    <t>Test</t>
  </si>
  <si>
    <t>2</t>
  </si>
  <si>
    <t>kc@gmail.com</t>
  </si>
  <si>
    <t>1111</t>
  </si>
  <si>
    <t>3ae3c396</t>
  </si>
  <si>
    <t>Markarius</t>
  </si>
  <si>
    <t>Williams</t>
  </si>
  <si>
    <t>m@gmail.com</t>
  </si>
  <si>
    <t>4444</t>
  </si>
  <si>
    <t>4fef0f87</t>
  </si>
  <si>
    <t>Jessika</t>
  </si>
  <si>
    <t>Erkoola</t>
  </si>
  <si>
    <t>jerkoola@gmail.com</t>
  </si>
  <si>
    <t>8000 Place</t>
  </si>
  <si>
    <t>b7daabd1</t>
  </si>
  <si>
    <t>Mokhtar</t>
  </si>
  <si>
    <t>Alsaeed</t>
  </si>
  <si>
    <t>mo@unloadnfold.com</t>
  </si>
  <si>
    <t>1200 N National Ave</t>
  </si>
  <si>
    <t>7624325f</t>
  </si>
  <si>
    <t>II</t>
  </si>
  <si>
    <t>myemail@email.email</t>
  </si>
  <si>
    <t>9871298732</t>
  </si>
  <si>
    <t>25714610</t>
  </si>
  <si>
    <t>kchristianson@ai-designtech.com</t>
  </si>
  <si>
    <t>N National Ave, Niles, IL 60714, USA</t>
  </si>
  <si>
    <t>9f461891</t>
  </si>
  <si>
    <t>Test3</t>
  </si>
  <si>
    <t>aosjdsalkjl@jsdoaj.com</t>
  </si>
  <si>
    <t>q0830219832</t>
  </si>
  <si>
    <t>h9</t>
  </si>
  <si>
    <t>stevi</t>
  </si>
  <si>
    <t>daugherty</t>
  </si>
  <si>
    <t>stevi@transitionalcare.net</t>
  </si>
  <si>
    <t>15413 1st Ave Ct S, Tacoma, WA 98444, USA</t>
  </si>
  <si>
    <t>Macy</t>
  </si>
  <si>
    <t>Strup</t>
  </si>
  <si>
    <t>macy@transitionalcare.net</t>
  </si>
  <si>
    <t>7930 Verona Lp SW, Olympia, WA 98512, USA</t>
  </si>
  <si>
    <t>fe488947</t>
  </si>
  <si>
    <t>n’kia</t>
  </si>
  <si>
    <t>quebral</t>
  </si>
  <si>
    <t>nkia@transitionalcare.net</t>
  </si>
  <si>
    <t>gregory@transitionalcare.net</t>
  </si>
  <si>
    <t>36aa4aa9</t>
  </si>
  <si>
    <t>e2c23550</t>
  </si>
  <si>
    <t>nkia</t>
  </si>
  <si>
    <t>174ca6d1</t>
  </si>
  <si>
    <t>jackson</t>
  </si>
  <si>
    <t>heely</t>
  </si>
  <si>
    <t>jackson@jsmash.com</t>
  </si>
  <si>
    <t>20c1e8c8</t>
  </si>
  <si>
    <t>Sam</t>
  </si>
  <si>
    <t>Robin</t>
  </si>
  <si>
    <t>Email,Phone,Address</t>
  </si>
  <si>
    <t>myfriendsam@gmil.com</t>
  </si>
  <si>
    <t>61bfb7f6</t>
  </si>
  <si>
    <t>661267eb</t>
  </si>
  <si>
    <t>Rob</t>
  </si>
  <si>
    <t>Robertson</t>
  </si>
  <si>
    <t>testing@test.test</t>
  </si>
  <si>
    <t>b50669e5</t>
  </si>
  <si>
    <t>Dave</t>
  </si>
  <si>
    <t>yep@yep.yep</t>
  </si>
  <si>
    <t>b6491ce4</t>
  </si>
  <si>
    <t>Loom</t>
  </si>
  <si>
    <t>yep@yep</t>
  </si>
  <si>
    <t>03ea13dc</t>
  </si>
  <si>
    <t>Anthony</t>
  </si>
  <si>
    <t>Travis</t>
  </si>
  <si>
    <t>detail@detail</t>
  </si>
  <si>
    <t>efeb7e48</t>
  </si>
  <si>
    <t>e525eb95</t>
  </si>
  <si>
    <t>Ref</t>
  </si>
  <si>
    <t>Eral</t>
  </si>
  <si>
    <t>4a9707d3</t>
  </si>
  <si>
    <t>New</t>
  </si>
  <si>
    <t>Person</t>
  </si>
  <si>
    <t>0910953b</t>
  </si>
  <si>
    <t>8bec6fb1</t>
  </si>
  <si>
    <t>Manzel</t>
  </si>
  <si>
    <t>Bowman</t>
  </si>
  <si>
    <t>manzelb@gmail.com</t>
  </si>
  <si>
    <t>manzelmediainc@gmail.com</t>
  </si>
  <si>
    <t>Kelly</t>
  </si>
  <si>
    <t>.</t>
  </si>
  <si>
    <t>d4b7df06</t>
  </si>
  <si>
    <t>McTesterston</t>
  </si>
  <si>
    <t>michael@transitionalcare.net</t>
  </si>
  <si>
    <t>Michael</t>
  </si>
  <si>
    <t>Arenson</t>
  </si>
  <si>
    <t>martinez</t>
  </si>
  <si>
    <t>Jamal</t>
  </si>
  <si>
    <t>Cox</t>
  </si>
  <si>
    <t>newsalemtacoma@outlook.com</t>
  </si>
  <si>
    <t>John</t>
  </si>
  <si>
    <t>Fitzgerald</t>
  </si>
  <si>
    <t>john.fitzgerald@seattlechildrens.org</t>
  </si>
  <si>
    <t>fitz7@umbc.edu</t>
  </si>
  <si>
    <t>Pelayo</t>
  </si>
  <si>
    <t>vivian.pf.08@gmail.com</t>
  </si>
  <si>
    <t>2e67da53</t>
  </si>
  <si>
    <t>Jack</t>
  </si>
  <si>
    <t>wilson</t>
  </si>
  <si>
    <t>jack</t>
  </si>
  <si>
    <t>1d1307a0</t>
  </si>
  <si>
    <t>Jackie</t>
  </si>
  <si>
    <t>Smith</t>
  </si>
  <si>
    <t>Phone,Address</t>
  </si>
  <si>
    <t>2341529a</t>
  </si>
  <si>
    <t>5a6c463f</t>
  </si>
  <si>
    <t>howard</t>
  </si>
  <si>
    <t>johnson</t>
  </si>
  <si>
    <t>Email,Phone</t>
  </si>
  <si>
    <t>howard@johnsonmemorial.conm</t>
  </si>
  <si>
    <t>Tim</t>
  </si>
  <si>
    <t>Chambers</t>
  </si>
  <si>
    <t>Funeral alternatives</t>
  </si>
  <si>
    <t>Lucia</t>
  </si>
  <si>
    <t>Lucia.Malo@sharelife.com</t>
  </si>
  <si>
    <t>wa.new.journeys@gmail.com</t>
  </si>
  <si>
    <t>Bryony</t>
  </si>
  <si>
    <t>Stokes</t>
  </si>
  <si>
    <t>bryony.mueller@wsu.edu</t>
  </si>
  <si>
    <t>Leroy</t>
  </si>
  <si>
    <t>Harris</t>
  </si>
  <si>
    <t>Rebecca</t>
  </si>
  <si>
    <t>Shalom</t>
  </si>
  <si>
    <t>Agtarap</t>
  </si>
  <si>
    <t>revshalom@fumcot.org</t>
  </si>
  <si>
    <t>Rabbi</t>
  </si>
  <si>
    <t>Gorban</t>
  </si>
  <si>
    <t>rabbigorban@tbetacoma.org</t>
  </si>
  <si>
    <t>Denis</t>
  </si>
  <si>
    <t>Gaty</t>
  </si>
  <si>
    <t>Denis.Gaty2@multicare.org</t>
  </si>
  <si>
    <t>Rebekah</t>
  </si>
  <si>
    <t>Vaughan</t>
  </si>
  <si>
    <t>rebekah.vaughan@piercecountylaw.gov</t>
  </si>
  <si>
    <t>Mathias</t>
  </si>
  <si>
    <t>mike@anything-helps.org</t>
  </si>
  <si>
    <t>Sandy</t>
  </si>
  <si>
    <t>Windley</t>
  </si>
  <si>
    <t>SandyW@associatedministries.org</t>
  </si>
  <si>
    <t>Sara</t>
  </si>
  <si>
    <t>Williamson</t>
  </si>
  <si>
    <t>SaraW@trm.org</t>
  </si>
  <si>
    <t>Malo</t>
  </si>
  <si>
    <t>Sophia</t>
  </si>
  <si>
    <t>Shepard</t>
  </si>
  <si>
    <t>Sophia@newphoebehouse.org</t>
  </si>
  <si>
    <t>Aleesia</t>
  </si>
  <si>
    <t>Morales</t>
  </si>
  <si>
    <t>AMorales@tacoma.gov</t>
  </si>
  <si>
    <t>Marissa</t>
  </si>
  <si>
    <t>Laws</t>
  </si>
  <si>
    <t>MLaws@tacoma.gov</t>
  </si>
  <si>
    <t>Jake</t>
  </si>
  <si>
    <t>Nau</t>
  </si>
  <si>
    <t>jake@svdptacoma.org</t>
  </si>
  <si>
    <t>Jill</t>
  </si>
  <si>
    <t>MacCorkle</t>
  </si>
  <si>
    <t>jill@stolenyouth.org</t>
  </si>
  <si>
    <t>Rosie</t>
  </si>
  <si>
    <t>Garbe</t>
  </si>
  <si>
    <t>jana@scarletroad.org</t>
  </si>
  <si>
    <t>Morgan</t>
  </si>
  <si>
    <t>Whittingslow</t>
  </si>
  <si>
    <t>morgan.whittingslow@curnowfuneralhome.com</t>
  </si>
  <si>
    <t>f64f5b94</t>
  </si>
  <si>
    <t>Desi</t>
  </si>
  <si>
    <t>jacki@trassi.net</t>
  </si>
  <si>
    <t>8108d4ba</t>
  </si>
  <si>
    <t>Wilson</t>
  </si>
  <si>
    <t>jack@jackieo.net</t>
  </si>
  <si>
    <t>fb719d5c</t>
  </si>
  <si>
    <t>c5a69f55</t>
  </si>
  <si>
    <t>te4st</t>
  </si>
  <si>
    <t>Moran</t>
  </si>
  <si>
    <t>emoran0012@gmail.com</t>
  </si>
  <si>
    <t>5e6c4464</t>
  </si>
  <si>
    <t>Ernie</t>
  </si>
  <si>
    <t>Samantha</t>
  </si>
  <si>
    <t>Reznick</t>
  </si>
  <si>
    <t>Samantha.Reznik@seattlechildrens.org</t>
  </si>
  <si>
    <t>emily.donoghue02@gmail.com</t>
  </si>
  <si>
    <t>Bowlden</t>
  </si>
  <si>
    <t>e92ac6ad</t>
  </si>
  <si>
    <t>Emily</t>
  </si>
  <si>
    <t>Donoghue</t>
  </si>
  <si>
    <t>594266d0</t>
  </si>
  <si>
    <t>Scott</t>
  </si>
  <si>
    <t>Jefferson</t>
  </si>
  <si>
    <t>b371f886</t>
  </si>
  <si>
    <t>Doug</t>
  </si>
  <si>
    <t>doug@jhs.org</t>
  </si>
  <si>
    <t>b6619c50</t>
  </si>
  <si>
    <t>Deb Jones</t>
  </si>
  <si>
    <t>drjones@transitionalcare.net</t>
  </si>
  <si>
    <t>drdeborahjones@gmail.com</t>
  </si>
  <si>
    <t>43d788d9</t>
  </si>
  <si>
    <t>Deb</t>
  </si>
  <si>
    <t>Kones</t>
  </si>
  <si>
    <t>e18f0ffd</t>
  </si>
  <si>
    <t>milton</t>
  </si>
  <si>
    <t>dog</t>
  </si>
  <si>
    <t>ec772111</t>
  </si>
  <si>
    <t>owen</t>
  </si>
  <si>
    <t>money</t>
  </si>
  <si>
    <t>7b5ed0d1</t>
  </si>
  <si>
    <t>john@jacksonu.edu</t>
  </si>
  <si>
    <t>a3cbfd67</t>
  </si>
  <si>
    <t>Nadia</t>
  </si>
  <si>
    <t>Vanatter</t>
  </si>
  <si>
    <t>nadia@toollo.com</t>
  </si>
  <si>
    <t>Katz</t>
  </si>
  <si>
    <t>Benjamin</t>
  </si>
  <si>
    <t>Zigrang</t>
  </si>
  <si>
    <t>bdroid2012@gmail.com</t>
  </si>
  <si>
    <t>8361aac1</t>
  </si>
  <si>
    <t>jack@regence.org</t>
  </si>
  <si>
    <t>eed182b8</t>
  </si>
  <si>
    <t>jackson@aol.com</t>
  </si>
  <si>
    <t>b4d6553c</t>
  </si>
  <si>
    <t>Jane</t>
  </si>
  <si>
    <t>janedoe@aol.com</t>
  </si>
  <si>
    <t>e894ee20</t>
  </si>
  <si>
    <t>Layla</t>
  </si>
  <si>
    <t>Franklin</t>
  </si>
  <si>
    <t>Valley</t>
  </si>
  <si>
    <t>Cities</t>
  </si>
  <si>
    <t>80480494</t>
  </si>
  <si>
    <t>jessica</t>
  </si>
  <si>
    <t>james</t>
  </si>
  <si>
    <t>jessicaj@ail.com</t>
  </si>
  <si>
    <t>88f34b08</t>
  </si>
  <si>
    <t>Jessica</t>
  </si>
  <si>
    <t>James</t>
  </si>
  <si>
    <t>jessjames@aol.com</t>
  </si>
  <si>
    <t>Rikkinen</t>
  </si>
  <si>
    <t>Priscilla</t>
  </si>
  <si>
    <t>Santiago</t>
  </si>
  <si>
    <t>Priscila.Desiderio@micentrowa.org</t>
  </si>
  <si>
    <t>Priscila</t>
  </si>
  <si>
    <t>Desiderio</t>
  </si>
  <si>
    <t>Priscila.Desiderio@micenteowa.org</t>
  </si>
  <si>
    <t>jessicaj@aol.com</t>
  </si>
  <si>
    <t>Lynn</t>
  </si>
  <si>
    <t>stevidaugherty@gmail.com</t>
  </si>
  <si>
    <t>Stevi</t>
  </si>
  <si>
    <t>Daugherty</t>
  </si>
  <si>
    <t>Noel</t>
  </si>
  <si>
    <t>Sutliss</t>
  </si>
  <si>
    <t>Vaughn</t>
  </si>
  <si>
    <t>Celia</t>
  </si>
  <si>
    <t>Stoddart</t>
  </si>
  <si>
    <t>aubree.malloy@lihi.org</t>
  </si>
  <si>
    <t>Aubree</t>
  </si>
  <si>
    <t>Malloy</t>
  </si>
  <si>
    <t>Heely</t>
  </si>
  <si>
    <t>jack@aol.com</t>
  </si>
  <si>
    <t>Luka</t>
  </si>
  <si>
    <t>Vimyre</t>
  </si>
  <si>
    <t>Renee</t>
  </si>
  <si>
    <t>renee.renee0110@gmail.com</t>
  </si>
  <si>
    <t>Elliott</t>
  </si>
  <si>
    <t>charles</t>
  </si>
  <si>
    <t>moanale</t>
  </si>
  <si>
    <t>a282ef0b</t>
  </si>
  <si>
    <t>Alex</t>
  </si>
  <si>
    <t>Horen</t>
  </si>
  <si>
    <t>alex@transitionalcare.net</t>
  </si>
  <si>
    <t>b7ef7579</t>
  </si>
  <si>
    <t>Sandeighy</t>
  </si>
  <si>
    <t>Thompohson</t>
  </si>
  <si>
    <t>Lana</t>
  </si>
  <si>
    <t>Wood</t>
  </si>
  <si>
    <t>58a33986</t>
  </si>
  <si>
    <t>Keigheighleiey</t>
  </si>
  <si>
    <t>63ccf10e</t>
  </si>
  <si>
    <t>Reigheighleiey</t>
  </si>
  <si>
    <t>kenneth</t>
  </si>
  <si>
    <t>minteer- rothwell</t>
  </si>
  <si>
    <t>natashia</t>
  </si>
  <si>
    <t>barnes</t>
  </si>
  <si>
    <t>Curdesia</t>
  </si>
  <si>
    <t>Hudson</t>
  </si>
  <si>
    <t>Ruben</t>
  </si>
  <si>
    <t>Ruiz-Fonseca</t>
  </si>
  <si>
    <t>rubenruizfonseca@gmail.com</t>
  </si>
  <si>
    <t>c.nessafonseca@gmail.com</t>
  </si>
  <si>
    <t>Cindy</t>
  </si>
  <si>
    <t>Fonseca</t>
  </si>
  <si>
    <t>cindyvfonseca@gmail.com</t>
  </si>
  <si>
    <t>Jerard</t>
  </si>
  <si>
    <t>Campbell</t>
  </si>
  <si>
    <t>Jaecifer82@gmail.com</t>
  </si>
  <si>
    <t>Misty</t>
  </si>
  <si>
    <t>Lipinski</t>
  </si>
  <si>
    <t>1a58c769</t>
  </si>
  <si>
    <t>walterskallan@gmail.com</t>
  </si>
  <si>
    <t>Kallan</t>
  </si>
  <si>
    <t>Walters</t>
  </si>
  <si>
    <t>christopher</t>
  </si>
  <si>
    <t>painter</t>
  </si>
  <si>
    <t>Tasha</t>
  </si>
  <si>
    <t>Painter</t>
  </si>
  <si>
    <t>Sellers</t>
  </si>
  <si>
    <t>desireeselllers88@gmail.com</t>
  </si>
  <si>
    <t>srhubbard05@gmail.com</t>
  </si>
  <si>
    <t>Sarah</t>
  </si>
  <si>
    <t>Hubbard</t>
  </si>
  <si>
    <t>sarahhubbard@nourishpc.org</t>
  </si>
  <si>
    <t>Darlene</t>
  </si>
  <si>
    <t>Bacelonia</t>
  </si>
  <si>
    <t>Mason</t>
  </si>
  <si>
    <t>Recinos</t>
  </si>
  <si>
    <t>PartnerDemoID</t>
  </si>
  <si>
    <t>DateTimeStamp</t>
  </si>
  <si>
    <t>CommunityPartner</t>
  </si>
  <si>
    <t>Other Notes</t>
  </si>
  <si>
    <t>Level of Access</t>
  </si>
  <si>
    <t>UserType</t>
  </si>
  <si>
    <t>Admin</t>
  </si>
  <si>
    <t>/gregory@transitionalcare.net</t>
  </si>
  <si>
    <t>User</t>
  </si>
  <si>
    <t>829625C1</t>
  </si>
  <si>
    <t>/kchristianson@ai-designtech.com</t>
  </si>
  <si>
    <t>829625C3</t>
  </si>
  <si>
    <t>test3@ai-designtech.com</t>
  </si>
  <si>
    <t>Partner</t>
  </si>
  <si>
    <t>686DE71E</t>
  </si>
  <si>
    <t>test2@ai-designtech.com</t>
  </si>
  <si>
    <t>test1@ai-designtech.com</t>
  </si>
  <si>
    <t>828625C2</t>
  </si>
  <si>
    <t>brittany@transitionalcare.net</t>
  </si>
  <si>
    <t>828625F2</t>
  </si>
  <si>
    <t>jessika@transitionalcare.net</t>
  </si>
  <si>
    <t>828625G2</t>
  </si>
  <si>
    <t>jeff@transitionalcare.net</t>
  </si>
  <si>
    <t>SMSID</t>
  </si>
  <si>
    <t>SMS Number</t>
  </si>
  <si>
    <t>RelatedUser</t>
  </si>
  <si>
    <t>82th25C1</t>
  </si>
  <si>
    <t>AddressID</t>
  </si>
  <si>
    <t>Street Address 1</t>
  </si>
  <si>
    <t>Street Address 2</t>
  </si>
  <si>
    <t>City</t>
  </si>
  <si>
    <t>State</t>
  </si>
  <si>
    <t>Zip Code</t>
  </si>
  <si>
    <t>Address (full)</t>
  </si>
  <si>
    <t>CB52304C</t>
  </si>
  <si>
    <t>1902 Yakima Avenue UNIT 2</t>
  </si>
  <si>
    <t>Tacoma</t>
  </si>
  <si>
    <t>United States</t>
  </si>
  <si>
    <t>97C7E4C9</t>
  </si>
  <si>
    <t>1537 N Juniper Street</t>
  </si>
  <si>
    <t>1537 N Juniper Street
Tacoma, WA 98406</t>
  </si>
  <si>
    <t>BEB5781D</t>
  </si>
  <si>
    <t>1210 E 30th Street</t>
  </si>
  <si>
    <t>1210 E 30th Street
Tacoma, WA 98404</t>
  </si>
  <si>
    <t>6B39345B</t>
  </si>
  <si>
    <t>98544</t>
  </si>
  <si>
    <t>1</t>
  </si>
  <si>
    <t>C4BF60F3</t>
  </si>
  <si>
    <t>Kljasd</t>
  </si>
  <si>
    <t>0F9F5D92</t>
  </si>
  <si>
    <t>Loocey</t>
  </si>
  <si>
    <t>546579846</t>
  </si>
  <si>
    <t>asdhjsai8ds9aiuhdsa</t>
  </si>
  <si>
    <t>BC3A954B</t>
  </si>
  <si>
    <t>Chehalis</t>
  </si>
  <si>
    <t>98546</t>
  </si>
  <si>
    <t>1200 N National Ave, Springfield, MO 65802, USA</t>
  </si>
  <si>
    <t>E3CC8ABD</t>
  </si>
  <si>
    <t>6+665</t>
  </si>
  <si>
    <t>&amp;</t>
  </si>
  <si>
    <t>D1D21802</t>
  </si>
  <si>
    <t>Tacom</t>
  </si>
  <si>
    <t>99999</t>
  </si>
  <si>
    <t>Yep</t>
  </si>
  <si>
    <t>3A6AD882</t>
  </si>
  <si>
    <t>1st Ave Ct S, Parkland, WA 98444, USA</t>
  </si>
  <si>
    <t>1a</t>
  </si>
  <si>
    <t>tacoma</t>
  </si>
  <si>
    <t>#1a</t>
  </si>
  <si>
    <t>wa</t>
  </si>
  <si>
    <t>1111 N Nobody Knows Pl</t>
  </si>
  <si>
    <t>No One Knows</t>
  </si>
  <si>
    <t>510 30th St S, Bessemer, AL 35020, USA</t>
  </si>
  <si>
    <t>4002 S M St, Oxnard, CA 93033, USA</t>
  </si>
  <si>
    <t>S 72nd St, Tacoma, WA, USA</t>
  </si>
  <si>
    <t>Apt 6</t>
  </si>
  <si>
    <t>72FD580A</t>
  </si>
  <si>
    <t>UserRoleID</t>
  </si>
  <si>
    <t>Role</t>
  </si>
  <si>
    <t>21CA2CB2</t>
  </si>
  <si>
    <t>1029D4CF</t>
  </si>
  <si>
    <t>DCF16200</t>
  </si>
  <si>
    <t>369C6268</t>
  </si>
  <si>
    <t>RoleID</t>
  </si>
  <si>
    <t>RoleName</t>
  </si>
  <si>
    <t>RoleDesc</t>
  </si>
  <si>
    <t>InternalorExternal</t>
  </si>
  <si>
    <t>Administrator</t>
  </si>
  <si>
    <t>Universal access</t>
  </si>
  <si>
    <t>Internal</t>
  </si>
  <si>
    <t>Owner/CEO</t>
  </si>
  <si>
    <t>81ECBCB1</t>
  </si>
  <si>
    <t>Manager</t>
  </si>
  <si>
    <t>4C33E520</t>
  </si>
  <si>
    <t>Supervisor</t>
  </si>
  <si>
    <t>B408B81F</t>
  </si>
  <si>
    <t>Nurse Practitioner</t>
  </si>
  <si>
    <t>FEE8B4FE</t>
  </si>
  <si>
    <t>Peer Counselor</t>
  </si>
  <si>
    <t>77022000</t>
  </si>
  <si>
    <t>Education Counselor</t>
  </si>
  <si>
    <t>CD36F521</t>
  </si>
  <si>
    <t>Intern</t>
  </si>
  <si>
    <t>Hybrid</t>
  </si>
  <si>
    <t>4A736F92</t>
  </si>
  <si>
    <t>External</t>
  </si>
  <si>
    <t>TeamID</t>
  </si>
  <si>
    <t>TeamName</t>
  </si>
  <si>
    <t>TeamDesc</t>
  </si>
  <si>
    <t>Type</t>
  </si>
  <si>
    <t>A68EE031</t>
  </si>
  <si>
    <t>TransitionalCare Core</t>
  </si>
  <si>
    <t>Broad team within the Transitional Care Company</t>
  </si>
  <si>
    <t>Internal Only</t>
  </si>
  <si>
    <t>BFF7C6B1</t>
  </si>
  <si>
    <t>LucidLiving</t>
  </si>
  <si>
    <t>Company</t>
  </si>
  <si>
    <t>9B3AEBBE</t>
  </si>
  <si>
    <t>City of Tacoma</t>
  </si>
  <si>
    <t>The team responsible for city planning</t>
  </si>
  <si>
    <t>External Only</t>
  </si>
  <si>
    <t>9453EB12</t>
  </si>
  <si>
    <t>Tier I LucidLiving Cooperative</t>
  </si>
  <si>
    <t>Tier I Collaboration between LucidLiving Company and Community Resources</t>
  </si>
  <si>
    <t>6EDB3287</t>
  </si>
  <si>
    <t>Tier II LucidLiving Cooperative</t>
  </si>
  <si>
    <t>Tier II Collaboration between LucidLiving Company and Community Resources</t>
  </si>
  <si>
    <t>EAAD15C1</t>
  </si>
  <si>
    <t>Tier III LucidLiving Cooperative</t>
  </si>
  <si>
    <t>Tier III Collaboration between LucidLiving Company and Community Resources</t>
  </si>
  <si>
    <t>UserTeamID</t>
  </si>
  <si>
    <t>Team</t>
  </si>
  <si>
    <t>B227826C</t>
  </si>
  <si>
    <t>C4DDF592</t>
  </si>
  <si>
    <t>FE0FE923</t>
  </si>
  <si>
    <t>EDB8F18B</t>
  </si>
  <si>
    <t>TableID</t>
  </si>
  <si>
    <t>Table Title</t>
  </si>
  <si>
    <t>Modules</t>
  </si>
  <si>
    <t>Participants</t>
  </si>
  <si>
    <t>Customers</t>
  </si>
  <si>
    <t>Enrollment</t>
  </si>
  <si>
    <t>References</t>
  </si>
  <si>
    <t>Dimensions of Wellness</t>
  </si>
  <si>
    <t>Attributes</t>
  </si>
  <si>
    <t>Z Codes</t>
  </si>
  <si>
    <t>Partner Detailed Survey</t>
  </si>
  <si>
    <t>Surveys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</si>
</sst>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h:mm:ss"/>
    <numFmt numFmtId="165" formatCode="m/d/yyyy h:mm:ss"/>
    <numFmt numFmtId="166" formatCode="m/d/yyyy"/>
    <numFmt numFmtId="167" formatCode="&quot;$&quot;#,##0"/>
  </numFmts>
  <fonts count="21">
    <font>
      <sz val="10.0"/>
      <color rgb="FF000000"/>
      <name val="Arial"/>
      <scheme val="minor"/>
    </font>
    <font>
      <color theme="1"/>
      <name val="Arial"/>
      <scheme val="minor"/>
    </font>
    <font>
      <color theme="1"/>
      <name val="&quot;Google Sans Text&quot;"/>
    </font>
    <font>
      <b/>
      <color rgb="FF1F1F1F"/>
      <name val="&quot;Google Sans Text&quot;"/>
    </font>
    <font>
      <color rgb="FF1F1F1F"/>
      <name val="&quot;Google Sans Text&quot;"/>
    </font>
    <font>
      <sz val="10.0"/>
      <color theme="1"/>
      <name val="Arial"/>
      <scheme val="minor"/>
    </font>
    <font>
      <sz val="11.0"/>
      <color theme="1"/>
      <name val="Roboto"/>
    </font>
    <font>
      <sz val="11.0"/>
      <color rgb="FF5F6368"/>
      <name val="Roboto"/>
    </font>
    <font>
      <u/>
      <sz val="11.0"/>
      <color rgb="FF0000FF"/>
      <name val="Roboto"/>
    </font>
    <font>
      <sz val="11.0"/>
      <color rgb="FF888888"/>
      <name val="Roboto"/>
    </font>
    <font>
      <u/>
      <color rgb="FF0000FF"/>
    </font>
    <font>
      <b/>
      <color theme="1"/>
      <name val="Arial"/>
      <scheme val="minor"/>
    </font>
    <font>
      <u/>
      <color rgb="FF0000FF"/>
    </font>
    <font>
      <sz val="11.0"/>
      <color theme="1"/>
      <name val="&quot;Noto Sans&quot;"/>
    </font>
    <font>
      <b/>
      <sz val="11.0"/>
      <color theme="1"/>
      <name val="&quot;Noto Sans&quot;"/>
    </font>
    <font>
      <b/>
      <u/>
      <sz val="11.0"/>
      <color rgb="FF0000FF"/>
      <name val="&quot;Noto Sans&quot;"/>
    </font>
    <font>
      <b/>
      <u/>
      <sz val="11.0"/>
      <color rgb="FF0000FF"/>
      <name val="&quot;Noto Sans&quot;"/>
    </font>
    <font>
      <b/>
      <sz val="11.0"/>
      <color rgb="FFFFFFFF"/>
      <name val="Calibri"/>
    </font>
    <font>
      <sz val="11.0"/>
      <color rgb="FF000000"/>
      <name val="Calibri"/>
    </font>
    <font>
      <color theme="1"/>
      <name val="Arial"/>
    </font>
    <font>
      <b/>
      <color theme="1"/>
      <name val="Arial"/>
    </font>
  </fonts>
  <fills count="6">
    <fill>
      <patternFill patternType="none"/>
    </fill>
    <fill>
      <patternFill patternType="lightGray"/>
    </fill>
    <fill>
      <patternFill patternType="solid">
        <fgColor rgb="FFEEEEEE"/>
        <bgColor rgb="FFEEEEEE"/>
      </patternFill>
    </fill>
    <fill>
      <patternFill patternType="solid">
        <fgColor rgb="FFFFFFFF"/>
        <bgColor rgb="FFFFFFFF"/>
      </patternFill>
    </fill>
    <fill>
      <patternFill patternType="solid">
        <fgColor rgb="FF5B9BD5"/>
        <bgColor rgb="FF5B9BD5"/>
      </patternFill>
    </fill>
    <fill>
      <patternFill patternType="solid">
        <fgColor rgb="FFDDEBF7"/>
        <bgColor rgb="FFDDEBF7"/>
      </patternFill>
    </fill>
  </fills>
  <borders count="8">
    <border/>
    <border>
      <left style="thin">
        <color rgb="FFE8EAED"/>
      </left>
      <right style="thin">
        <color rgb="FFE8EAED"/>
      </right>
      <top style="thin">
        <color rgb="FFE8EAED"/>
      </top>
      <bottom style="thin">
        <color rgb="FFE8EAED"/>
      </bottom>
    </border>
    <border>
      <bottom style="thin">
        <color rgb="FFE0E0E0"/>
      </bottom>
    </border>
    <border>
      <bottom style="thin">
        <color rgb="FF000000"/>
      </bottom>
    </border>
    <border>
      <left style="thin">
        <color rgb="FF9BC2E6"/>
      </left>
      <top style="thin">
        <color rgb="FF9BC2E6"/>
      </top>
      <bottom style="thin">
        <color rgb="FF9BC2E6"/>
      </bottom>
    </border>
    <border>
      <top style="thin">
        <color rgb="FF9BC2E6"/>
      </top>
      <bottom style="thin">
        <color rgb="FF9BC2E6"/>
      </bottom>
    </border>
    <border>
      <right style="thin">
        <color rgb="FF9BC2E6"/>
      </right>
      <top style="thin">
        <color rgb="FF9BC2E6"/>
      </top>
      <bottom style="thin">
        <color rgb="FF9BC2E6"/>
      </bottom>
    </border>
    <border>
      <left style="thin">
        <color rgb="FF000000"/>
      </left>
      <right style="thin">
        <color rgb="FF000000"/>
      </right>
      <top style="thin">
        <color rgb="FF9BC2E6"/>
      </top>
      <bottom style="thin">
        <color rgb="FFE0E0E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4" xfId="0" applyAlignment="1" applyFont="1" applyNumberFormat="1">
      <alignment shrinkToFit="0" vertical="center" wrapText="1"/>
    </xf>
    <xf borderId="0" fillId="0" fontId="1" numFmtId="9"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Font="1"/>
    <xf borderId="0" fillId="0" fontId="1" numFmtId="4" xfId="0" applyFont="1" applyNumberFormat="1"/>
    <xf borderId="0" fillId="0" fontId="2"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Font="1"/>
    <xf borderId="0" fillId="0" fontId="6" numFmtId="0" xfId="0" applyAlignment="1" applyFont="1">
      <alignment horizontal="left" readingOrder="0" shrinkToFit="0" vertical="center" wrapText="0"/>
    </xf>
    <xf borderId="1" fillId="2" fontId="7" numFmtId="0" xfId="0" applyAlignment="1" applyBorder="1" applyFill="1" applyFont="1">
      <alignment horizontal="left" readingOrder="0" shrinkToFit="0" vertical="center" wrapText="0"/>
    </xf>
    <xf borderId="1" fillId="2" fontId="7" numFmtId="0" xfId="0" applyAlignment="1" applyBorder="1" applyFont="1">
      <alignment shrinkToFit="0" vertical="center" wrapText="0"/>
    </xf>
    <xf borderId="1" fillId="2" fontId="7" numFmtId="0" xfId="0" applyAlignment="1" applyBorder="1" applyFont="1">
      <alignment readingOrder="0" shrinkToFit="0" vertical="center" wrapText="1"/>
    </xf>
    <xf borderId="1" fillId="2" fontId="7" numFmtId="0" xfId="0" applyAlignment="1" applyBorder="1" applyFont="1">
      <alignment readingOrder="0" shrinkToFit="0" vertical="center" wrapText="0"/>
    </xf>
    <xf borderId="1" fillId="2" fontId="7" numFmtId="164" xfId="0" applyAlignment="1" applyBorder="1" applyFont="1" applyNumberFormat="1">
      <alignment readingOrder="0" shrinkToFit="0" vertical="center" wrapText="0"/>
    </xf>
    <xf borderId="1" fillId="0" fontId="8" numFmtId="0" xfId="0" applyAlignment="1" applyBorder="1" applyFont="1">
      <alignment shrinkToFit="0" vertical="center" wrapText="0"/>
    </xf>
    <xf borderId="1" fillId="3" fontId="9" numFmtId="0" xfId="0" applyAlignment="1" applyBorder="1" applyFill="1" applyFont="1">
      <alignment horizontal="right" readingOrder="0" shrinkToFit="0" vertical="center" wrapText="0"/>
    </xf>
    <xf borderId="1" fillId="3" fontId="9" numFmtId="0" xfId="0" applyAlignment="1" applyBorder="1" applyFont="1">
      <alignment readingOrder="0" shrinkToFit="0" vertical="center" wrapText="0"/>
    </xf>
    <xf borderId="1" fillId="3" fontId="9" numFmtId="0" xfId="0" applyAlignment="1" applyBorder="1" applyFont="1">
      <alignment readingOrder="0" shrinkToFit="0" vertical="center" wrapText="1"/>
    </xf>
    <xf borderId="1" fillId="3" fontId="9" numFmtId="0" xfId="0" applyAlignment="1" applyBorder="1" applyFont="1">
      <alignment shrinkToFit="0" vertical="center" wrapText="0"/>
    </xf>
    <xf borderId="1" fillId="3" fontId="9" numFmtId="164" xfId="0" applyAlignment="1" applyBorder="1" applyFont="1" applyNumberFormat="1">
      <alignment readingOrder="0" shrinkToFit="0" vertical="center" wrapText="0"/>
    </xf>
    <xf borderId="1" fillId="2" fontId="7" numFmtId="165" xfId="0" applyAlignment="1" applyBorder="1" applyFont="1" applyNumberFormat="1">
      <alignment readingOrder="0" shrinkToFit="0" vertical="center" wrapText="0"/>
    </xf>
    <xf borderId="1" fillId="3" fontId="9" numFmtId="165" xfId="0" applyAlignment="1" applyBorder="1" applyFont="1" applyNumberFormat="1">
      <alignment readingOrder="0" shrinkToFit="0" vertical="center" wrapText="0"/>
    </xf>
    <xf borderId="0" fillId="0" fontId="1"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 numFmtId="166" xfId="0" applyAlignment="1" applyFont="1" applyNumberFormat="1">
      <alignment readingOrder="0"/>
    </xf>
    <xf borderId="0" fillId="0" fontId="1" numFmtId="21" xfId="0" applyAlignment="1" applyFont="1" applyNumberFormat="1">
      <alignment readingOrder="0"/>
    </xf>
    <xf borderId="0" fillId="0" fontId="12" numFmtId="0" xfId="0" applyAlignment="1" applyFont="1">
      <alignment readingOrder="0"/>
    </xf>
    <xf borderId="2" fillId="0" fontId="11" numFmtId="0" xfId="0" applyAlignment="1" applyBorder="1" applyFont="1">
      <alignment horizontal="left" readingOrder="0"/>
    </xf>
    <xf borderId="0" fillId="0" fontId="11" numFmtId="0" xfId="0" applyAlignment="1" applyFont="1">
      <alignment horizontal="left" readingOrder="0"/>
    </xf>
    <xf quotePrefix="1" borderId="0" fillId="0" fontId="1" numFmtId="0" xfId="0" applyAlignment="1" applyFont="1">
      <alignment readingOrder="0"/>
    </xf>
    <xf borderId="2" fillId="0" fontId="1" numFmtId="0" xfId="0" applyAlignment="1" applyBorder="1" applyFont="1">
      <alignment vertical="top"/>
    </xf>
    <xf borderId="0" fillId="0" fontId="1" numFmtId="0" xfId="0" applyFont="1"/>
    <xf borderId="0" fillId="0" fontId="1" numFmtId="165" xfId="0" applyAlignment="1" applyFont="1" applyNumberFormat="1">
      <alignment readingOrder="0"/>
    </xf>
    <xf borderId="0" fillId="0" fontId="13" numFmtId="0" xfId="0" applyAlignment="1" applyFont="1">
      <alignment horizontal="center" readingOrder="0"/>
    </xf>
    <xf borderId="0" fillId="0" fontId="13" numFmtId="0" xfId="0" applyAlignment="1" applyFont="1">
      <alignment readingOrder="0"/>
    </xf>
    <xf borderId="3" fillId="0" fontId="13" numFmtId="0" xfId="0" applyAlignment="1" applyBorder="1" applyFont="1">
      <alignment readingOrder="0"/>
    </xf>
    <xf borderId="3" fillId="0" fontId="14" numFmtId="0" xfId="0" applyAlignment="1" applyBorder="1" applyFont="1">
      <alignment readingOrder="0"/>
    </xf>
    <xf borderId="0" fillId="0" fontId="15" numFmtId="3" xfId="0" applyAlignment="1" applyFont="1" applyNumberFormat="1">
      <alignment readingOrder="0"/>
    </xf>
    <xf borderId="3" fillId="0" fontId="13" numFmtId="3" xfId="0" applyAlignment="1" applyBorder="1" applyFont="1" applyNumberFormat="1">
      <alignment readingOrder="0"/>
    </xf>
    <xf borderId="0" fillId="0" fontId="16" numFmtId="0" xfId="0" applyAlignment="1" applyFont="1">
      <alignment readingOrder="0"/>
    </xf>
    <xf borderId="0" fillId="0" fontId="1" numFmtId="3" xfId="0" applyAlignment="1" applyFont="1" applyNumberFormat="1">
      <alignment readingOrder="0"/>
    </xf>
    <xf borderId="0" fillId="4" fontId="17" numFmtId="0" xfId="0" applyAlignment="1" applyFill="1" applyFont="1">
      <alignment readingOrder="0" shrinkToFit="0" vertical="bottom" wrapText="0"/>
    </xf>
    <xf borderId="4" fillId="4" fontId="17" numFmtId="0" xfId="0" applyAlignment="1" applyBorder="1" applyFont="1">
      <alignment readingOrder="0" shrinkToFit="0" vertical="bottom" wrapText="0"/>
    </xf>
    <xf borderId="5" fillId="4" fontId="17" numFmtId="0" xfId="0" applyAlignment="1" applyBorder="1" applyFont="1">
      <alignment readingOrder="0" shrinkToFit="0" vertical="bottom" wrapText="0"/>
    </xf>
    <xf borderId="6" fillId="4" fontId="17" numFmtId="0" xfId="0" applyAlignment="1" applyBorder="1" applyFont="1">
      <alignment readingOrder="0" shrinkToFit="0" vertical="bottom" wrapText="0"/>
    </xf>
    <xf borderId="0" fillId="5" fontId="18" numFmtId="0" xfId="0" applyAlignment="1" applyFill="1" applyFont="1">
      <alignment horizontal="right" readingOrder="0" shrinkToFit="0" vertical="bottom" wrapText="0"/>
    </xf>
    <xf borderId="4" fillId="5" fontId="18" numFmtId="0" xfId="0" applyAlignment="1" applyBorder="1" applyFont="1">
      <alignment horizontal="right" readingOrder="0" shrinkToFit="0" vertical="bottom" wrapText="0"/>
    </xf>
    <xf borderId="5" fillId="5" fontId="18" numFmtId="0" xfId="0" applyAlignment="1" applyBorder="1" applyFont="1">
      <alignment horizontal="right" readingOrder="0" shrinkToFit="0" vertical="bottom" wrapText="0"/>
    </xf>
    <xf borderId="5" fillId="5" fontId="18" numFmtId="0" xfId="0" applyAlignment="1" applyBorder="1" applyFont="1">
      <alignment readingOrder="0" shrinkToFit="0" vertical="bottom" wrapText="0"/>
    </xf>
    <xf borderId="7" fillId="5" fontId="18" numFmtId="0" xfId="0" applyAlignment="1" applyBorder="1" applyFont="1">
      <alignment readingOrder="0" vertical="top"/>
    </xf>
    <xf borderId="5" fillId="5" fontId="18" numFmtId="0" xfId="0" applyAlignment="1" applyBorder="1" applyFont="1">
      <alignment shrinkToFit="0" vertical="bottom" wrapText="0"/>
    </xf>
    <xf borderId="6" fillId="5" fontId="18" numFmtId="0" xfId="0" applyAlignment="1" applyBorder="1" applyFont="1">
      <alignment shrinkToFit="0" vertical="bottom" wrapText="0"/>
    </xf>
    <xf borderId="4" fillId="0" fontId="18" numFmtId="0" xfId="0" applyAlignment="1" applyBorder="1" applyFont="1">
      <alignment horizontal="right" readingOrder="0" shrinkToFit="0" vertical="bottom" wrapText="0"/>
    </xf>
    <xf borderId="5" fillId="0" fontId="18" numFmtId="0" xfId="0" applyAlignment="1" applyBorder="1" applyFont="1">
      <alignment horizontal="right" readingOrder="0" shrinkToFit="0" vertical="bottom" wrapText="0"/>
    </xf>
    <xf borderId="5" fillId="0" fontId="18" numFmtId="0" xfId="0" applyAlignment="1" applyBorder="1" applyFont="1">
      <alignment readingOrder="0" shrinkToFit="0" vertical="bottom" wrapText="0"/>
    </xf>
    <xf borderId="7" fillId="0" fontId="18" numFmtId="0" xfId="0" applyAlignment="1" applyBorder="1" applyFont="1">
      <alignment readingOrder="0" vertical="top"/>
    </xf>
    <xf borderId="5" fillId="0" fontId="18" numFmtId="0" xfId="0" applyAlignment="1" applyBorder="1" applyFont="1">
      <alignment shrinkToFit="0" vertical="bottom" wrapText="0"/>
    </xf>
    <xf borderId="6" fillId="0" fontId="18" numFmtId="0" xfId="0" applyAlignment="1" applyBorder="1" applyFont="1">
      <alignment shrinkToFit="0" vertical="bottom" wrapText="0"/>
    </xf>
    <xf borderId="6" fillId="0" fontId="18" numFmtId="0" xfId="0" applyAlignment="1" applyBorder="1" applyFont="1">
      <alignment readingOrder="0" shrinkToFit="0" vertical="bottom" wrapText="0"/>
    </xf>
    <xf borderId="2" fillId="0" fontId="1" numFmtId="0" xfId="0" applyAlignment="1" applyBorder="1" applyFont="1">
      <alignment readingOrder="0" vertical="top"/>
    </xf>
    <xf borderId="0" fillId="0" fontId="19" numFmtId="3" xfId="0" applyAlignment="1" applyFont="1" applyNumberFormat="1">
      <alignment vertical="bottom"/>
    </xf>
    <xf borderId="0" fillId="0" fontId="1" numFmtId="167" xfId="0" applyFont="1" applyNumberFormat="1"/>
    <xf borderId="0" fillId="0" fontId="19" numFmtId="0" xfId="0" applyAlignment="1" applyFont="1">
      <alignment vertical="bottom"/>
    </xf>
    <xf borderId="0" fillId="0" fontId="19" numFmtId="0" xfId="0" applyAlignment="1" applyFont="1">
      <alignment vertical="bottom"/>
    </xf>
    <xf borderId="0" fillId="0" fontId="19" numFmtId="0" xfId="0" applyAlignment="1" applyFont="1">
      <alignment vertical="top"/>
    </xf>
    <xf borderId="2" fillId="0" fontId="19" numFmtId="0" xfId="0" applyAlignment="1" applyBorder="1" applyFont="1">
      <alignment vertical="top"/>
    </xf>
    <xf borderId="0" fillId="0" fontId="19" numFmtId="0" xfId="0" applyAlignment="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0" xfId="0" applyAlignment="1" applyBorder="1" applyFont="1">
      <alignment readingOrder="0" vertical="bottom"/>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356854"/>
          <bgColor rgb="FF356854"/>
        </patternFill>
      </fill>
      <border/>
    </dxf>
  </dxfs>
  <tableStyles count="3">
    <tableStyle count="4" pivot="0" name="Dashboard-style">
      <tableStyleElement dxfId="1" type="headerRow"/>
      <tableStyleElement dxfId="2" type="firstRowStripe"/>
      <tableStyleElement dxfId="3" type="secondRowStripe"/>
      <tableStyleElement dxfId="4" size="0" type="wholeTable"/>
    </tableStyle>
    <tableStyle count="4" pivot="0" name="Dashboard-style 2">
      <tableStyleElement dxfId="5" type="headerRow"/>
      <tableStyleElement dxfId="2" type="firstRowStripe"/>
      <tableStyleElement dxfId="3" type="secondRowStripe"/>
      <tableStyleElement dxfId="4" size="0" type="wholeTable"/>
    </tableStyle>
    <tableStyle count="4" pivot="0" name="App Interaction Report-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pivotCacheDefinition" Target="pivotCache/pivotCacheDefinition2.xml"/><Relationship Id="rId41" Type="http://schemas.openxmlformats.org/officeDocument/2006/relationships/pivotCacheDefinition" Target="pivotCache/pivotCacheDefinition1.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ATLAS Metrics - High Level Performance</a:t>
            </a:r>
          </a:p>
        </c:rich>
      </c:tx>
      <c:overlay val="0"/>
    </c:title>
    <c:plotArea>
      <c:layout/>
      <c:barChart>
        <c:barDir val="col"/>
        <c:ser>
          <c:idx val="0"/>
          <c:order val="0"/>
          <c:tx>
            <c:strRef>
              <c:f>Dashboard!$B$10</c:f>
            </c:strRef>
          </c:tx>
          <c:spPr>
            <a:solidFill>
              <a:schemeClr val="accent1"/>
            </a:solidFill>
            <a:ln cmpd="sng">
              <a:solidFill>
                <a:srgbClr val="000000"/>
              </a:solidFill>
            </a:ln>
          </c:spPr>
          <c:cat>
            <c:strRef>
              <c:f>Dashboard!$A$11:$A$16</c:f>
            </c:strRef>
          </c:cat>
          <c:val>
            <c:numRef>
              <c:f>Dashboard!$B$11:$B$16</c:f>
              <c:numCache/>
            </c:numRef>
          </c:val>
        </c:ser>
        <c:axId val="1169437661"/>
        <c:axId val="41676741"/>
      </c:barChart>
      <c:catAx>
        <c:axId val="11694376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Metric 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41676741"/>
      </c:catAx>
      <c:valAx>
        <c:axId val="416767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Current Value (Counts)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943766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ATLAS Identified Needs of the Community</a:t>
            </a:r>
          </a:p>
        </c:rich>
      </c:tx>
      <c:layout>
        <c:manualLayout>
          <c:xMode val="edge"/>
          <c:yMode val="edge"/>
          <c:x val="0.03255250403877222"/>
          <c:y val="0.05"/>
        </c:manualLayout>
      </c:layout>
      <c:overlay val="0"/>
    </c:title>
    <c:plotArea>
      <c:layout/>
      <c:pieChart>
        <c:varyColors val="1"/>
        <c:ser>
          <c:idx val="0"/>
          <c:order val="0"/>
          <c:tx>
            <c:strRef>
              <c:f>Dashboard!$B$51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0"/>
            <c:showCatName val="0"/>
            <c:showSerName val="0"/>
            <c:showPercent val="1"/>
            <c:showBubbleSize val="0"/>
            <c:showLeaderLines val="1"/>
          </c:dLbls>
          <c:cat>
            <c:strRef>
              <c:f>Dashboard!$A$52:$A$58</c:f>
            </c:strRef>
          </c:cat>
          <c:val>
            <c:numRef>
              <c:f>Dashboard!$B$52:$B$58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ATLAS Categories of Referral Basis</a:t>
            </a:r>
          </a:p>
        </c:rich>
      </c:tx>
      <c:overlay val="0"/>
    </c:title>
    <c:plotArea>
      <c:layout/>
      <c:pieChart>
        <c:varyColors val="1"/>
        <c:ser>
          <c:idx val="0"/>
          <c:order val="0"/>
          <c:tx>
            <c:strRef>
              <c:f>Dashboard!$B$41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0"/>
            <c:showCatName val="0"/>
            <c:showSerName val="0"/>
            <c:showPercent val="1"/>
            <c:showBubbleSize val="0"/>
            <c:showLeaderLines val="1"/>
          </c:dLbls>
          <c:cat>
            <c:strRef>
              <c:f>Dashboard!$A$42:$A$48</c:f>
            </c:strRef>
          </c:cat>
          <c:val>
            <c:numRef>
              <c:f>Dashboard!$B$42:$B$48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18</xdr:row>
      <xdr:rowOff>57150</xdr:rowOff>
    </xdr:from>
    <xdr:ext cx="74295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49</xdr:row>
      <xdr:rowOff>95250</xdr:rowOff>
    </xdr:from>
    <xdr:ext cx="5895975" cy="36480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781050</xdr:colOff>
      <xdr:row>49</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7" sheet="Dashboard"/>
  </cacheSource>
  <cacheFields>
    <cacheField name="Metric Category" numFmtId="0">
      <sharedItems>
        <s v="Referrals"/>
        <s v="Partners"/>
        <s v="Stabilization"/>
        <s v="Financial"/>
        <s v="Engagement"/>
        <s v="Clients"/>
      </sharedItems>
    </cacheField>
    <cacheField name="Key Statistic" numFmtId="0">
      <sharedItems>
        <s v="Total Referrals YTD"/>
        <s v="Active Partners"/>
        <s v="Average Case Duration (Days)"/>
        <s v="YTD Budget Utilization"/>
        <s v="App Usage (Number of Saves) YTD"/>
        <s v="New Clients Onboarded Q3"/>
      </sharedItems>
    </cacheField>
    <cacheField name="Source Sheet" numFmtId="0">
      <sharedItems>
        <s v="Referrals Log"/>
        <s v="Partner List"/>
        <s v="Case Management"/>
        <s v="Budget Tracking"/>
        <s v="Usage Data"/>
        <s v="Onboarding Data"/>
      </sharedItems>
    </cacheField>
    <cacheField name="Current Value (Counts)" numFmtId="4">
      <sharedItems containsString="0" containsBlank="1" containsNumber="1" containsInteger="1">
        <n v="24.0"/>
        <n v="11.0"/>
        <m/>
        <n v="50.0"/>
        <n v="15.0"/>
      </sharedItems>
    </cacheField>
    <cacheField name="Comparison to Last Period" numFmtId="9">
      <sharedItems containsSemiMixedTypes="0" containsString="0" containsNumber="1" containsInteger="1">
        <n v="1.0"/>
      </sharedItems>
    </cacheField>
    <cacheField name="Status/Trend" numFmtId="0">
      <sharedItems>
        <s v="Growing"/>
        <s v="Stable"/>
        <s v="Improving"/>
        <s v="On Track"/>
        <s v="Strong"/>
        <s v="Slight Dip"/>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1:D48" sheet="Dashboard"/>
  </cacheSource>
  <cacheFields>
    <cacheField name="Affinity Category" numFmtId="0">
      <sharedItems>
        <s v="Clinical Diagnoses &amp; Symptomatology"/>
        <s v="Demographics"/>
        <s v="Risk &amp; Safety Concerns"/>
        <s v="Treatment History"/>
        <s v="Housing &amp; Basic Needs"/>
        <s v="Legal &amp; Social Determinants"/>
        <s v="Service Preferences"/>
      </sharedItems>
    </cacheField>
    <cacheField name="Count" numFmtId="0">
      <sharedItems containsSemiMixedTypes="0" containsString="0" containsNumber="1" containsInteger="1">
        <n v="7.0"/>
        <n v="5.0"/>
        <n v="4.0"/>
        <n v="3.0"/>
        <n v="2.0"/>
      </sharedItems>
    </cacheField>
    <cacheField name="Key Metrics to Track" numFmtId="0">
      <sharedItems>
        <s v="Prevalence of psychotic symptoms; Specific diagnoses (PTSD, Bipolar); Substance use indicators."/>
        <s v="Age distribution (Youth vs. Adult); Family unit referrals."/>
        <s v="Rates of Suicidal Ideation (SI); Incidents of Domestic Violence (DV); Victimization events."/>
        <s v="Medication non-adherence rates; Inpatient admission requests."/>
        <s v="Homelessness rates; Food insecurity; Housing instability."/>
        <s v="Legal system involvement (Probation); Educational/Vocational needs."/>
        <s v="Requests for cultural matching; Requests for preventative care."/>
      </sharedItems>
    </cacheField>
    <cacheField name="Examples from Text" numFmtId="0">
      <sharedItems>
        <s v="• &quot;Struggles with positive s[ymptoms]&quot; 11&#10;&#10;&#10;&#10;• &quot;Krystal has PTSD&quot; 12&#10;&#10;&#10;&#10;• &quot;voices and seeing things&quot; 13&#10;&#10;&#10;&#10;• &quot;diagnosed w/ schizoaffective&quot; 14"/>
        <s v="• &quot;57 years old&quot; 15&#10;&#10;&#10;&#10;• &quot;dad and daughter&quot; 16&#10;&#10;&#10;&#10;• &quot;14 year male&quot; 17&#10;&#10;&#10;&#10;• &quot;Youth recently&quot; 18"/>
        <s v="• &quot;Been very suicidal&quot; 19&#10;&#10;&#10;&#10;• &quot;Domestic Violence Servi[ces]&quot; 20&#10;&#10;&#10;&#10;• &quot;Jack was mugg[ed]&quot; 21"/>
        <s v="• &quot;got off all her meds&quot; 22&#10;&#10;&#10;&#10;• &quot;Inpaen Vaituunt Pending&quot; 23&#10;&#10;&#10;&#10;• &quot;Tred 3 different medica[tions]&quot; 24"/>
        <s v="• &quot;homeless with his family&quot; 25&#10;&#10;&#10;&#10;• &quot;was at the food [bank]&quot; 26&#10;&#10;&#10;&#10;• &quot;doesn't have stable housing&quot; 27"/>
        <s v="• &quot;on probation&quot; 28&#10;&#10;&#10;&#10;• &quot;education employment&quot; 29&#10;&#10;&#10;&#10;• &quot;Works nights as a peer&quot; 30"/>
        <s v="• &quot;specifically a female of color therapist&quot; 31&#10;&#10;&#10;&#10;• &quot;preventative mental health services&quot; 32"/>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Dashboard" cacheId="0" dataCaption="" compact="0" compactData="0">
  <location ref="A10:B17" firstHeaderRow="0" firstDataRow="1" firstDataCol="0"/>
  <pivotFields>
    <pivotField name="Metric Category" compact="0" outline="0" multipleItemSelectionAllowed="1" showAll="0">
      <items>
        <item x="0"/>
        <item x="1"/>
        <item x="2"/>
        <item x="3"/>
        <item x="4"/>
        <item x="5"/>
        <item t="default"/>
      </items>
    </pivotField>
    <pivotField name="Key Statistic" axis="axisRow" compact="0" outline="0" multipleItemSelectionAllowed="1" showAll="0" sortType="ascending">
      <items>
        <item x="1"/>
        <item x="4"/>
        <item x="2"/>
        <item x="5"/>
        <item x="0"/>
        <item x="3"/>
        <item t="default"/>
      </items>
    </pivotField>
    <pivotField name="Source Sheet" compact="0" outline="0" multipleItemSelectionAllowed="1" showAll="0">
      <items>
        <item x="0"/>
        <item x="1"/>
        <item x="2"/>
        <item x="3"/>
        <item x="4"/>
        <item x="5"/>
        <item t="default"/>
      </items>
    </pivotField>
    <pivotField name="Current Value (Counts)" dataField="1" compact="0" numFmtId="4" outline="0" multipleItemSelectionAllowed="1" showAll="0">
      <items>
        <item x="0"/>
        <item x="1"/>
        <item x="2"/>
        <item x="3"/>
        <item x="4"/>
        <item t="default"/>
      </items>
    </pivotField>
    <pivotField name="Comparison to Last Period" compact="0" numFmtId="9" outline="0" multipleItemSelectionAllowed="1" showAll="0">
      <items>
        <item x="0"/>
        <item t="default"/>
      </items>
    </pivotField>
    <pivotField name="Status/Trend" compact="0" outline="0" multipleItemSelectionAllowed="1" showAll="0">
      <items>
        <item x="0"/>
        <item x="1"/>
        <item x="2"/>
        <item x="3"/>
        <item x="4"/>
        <item x="5"/>
        <item t="default"/>
      </items>
    </pivotField>
  </pivotFields>
  <rowFields>
    <field x="1"/>
  </rowFields>
  <dataFields>
    <dataField name="SUM of Current Value (Counts)" fld="3" baseField="0"/>
  </dataFields>
</pivotTableDefinition>
</file>

<file path=xl/pivotTables/pivotTable2.xml><?xml version="1.0" encoding="utf-8"?>
<pivotTableDefinition xmlns="http://schemas.openxmlformats.org/spreadsheetml/2006/main" name="Dashboard 2" cacheId="1" dataCaption="" compact="0" compactData="0">
  <location ref="A51:B59" firstHeaderRow="0" firstDataRow="1" firstDataCol="0"/>
  <pivotFields>
    <pivotField name="Affinity Category" compact="0" outline="0" multipleItemSelectionAllowed="1" showAll="0">
      <items>
        <item x="0"/>
        <item x="1"/>
        <item x="2"/>
        <item x="3"/>
        <item x="4"/>
        <item x="5"/>
        <item x="6"/>
        <item t="default"/>
      </items>
    </pivotField>
    <pivotField name="Count" dataField="1" compact="0" outline="0" multipleItemSelectionAllowed="1" showAll="0">
      <items>
        <item x="0"/>
        <item x="1"/>
        <item x="2"/>
        <item x="3"/>
        <item x="4"/>
        <item t="default"/>
      </items>
    </pivotField>
    <pivotField name="Key Metrics to Track" axis="axisRow" compact="0" outline="0" multipleItemSelectionAllowed="1" showAll="0" sortType="ascending">
      <items>
        <item x="1"/>
        <item x="4"/>
        <item x="5"/>
        <item x="3"/>
        <item x="0"/>
        <item x="2"/>
        <item x="6"/>
        <item t="default"/>
      </items>
    </pivotField>
    <pivotField name="Examples from Text" compact="0" outline="0" multipleItemSelectionAllowed="1" showAll="0">
      <items>
        <item x="0"/>
        <item x="1"/>
        <item x="2"/>
        <item x="3"/>
        <item x="4"/>
        <item x="5"/>
        <item x="6"/>
        <item t="default"/>
      </items>
    </pivotField>
  </pivotFields>
  <rowFields>
    <field x="2"/>
  </rowFields>
  <dataFields>
    <dataField name="SUM of Count" fld="1" baseField="0"/>
  </dataFields>
</pivotTableDefinition>
</file>

<file path=xl/tables/table1.xml><?xml version="1.0" encoding="utf-8"?>
<table xmlns="http://schemas.openxmlformats.org/spreadsheetml/2006/main" ref="A1:F7" displayName="Table1" name="Table1" id="1">
  <tableColumns count="6">
    <tableColumn name="Metric Category" id="1"/>
    <tableColumn name="Key Statistic" id="2"/>
    <tableColumn name="Source Sheet" id="3"/>
    <tableColumn name="Current Value (Counts)" id="4"/>
    <tableColumn name="Comparison to Last Period" id="5"/>
    <tableColumn name="Status/Trend" id="6"/>
  </tableColumns>
  <tableStyleInfo name="Dashboard-style" showColumnStripes="0" showFirstColumn="1" showLastColumn="1" showRowStripes="1"/>
</table>
</file>

<file path=xl/tables/table2.xml><?xml version="1.0" encoding="utf-8"?>
<table xmlns="http://schemas.openxmlformats.org/spreadsheetml/2006/main" ref="A41:D48" displayName="Table3" name="Table3" id="2">
  <tableColumns count="4">
    <tableColumn name="Affinity Category" id="1"/>
    <tableColumn name="Count" id="2"/>
    <tableColumn name="Key Metrics to Track" id="3"/>
    <tableColumn name="Examples from Text" id="4"/>
  </tableColumns>
  <tableStyleInfo name="Dashboard-style 2" showColumnStripes="0" showFirstColumn="1" showLastColumn="1" showRowStripes="1"/>
</table>
</file>

<file path=xl/tables/table3.xml><?xml version="1.0" encoding="utf-8"?>
<table xmlns="http://schemas.openxmlformats.org/spreadsheetml/2006/main" ref="A1:I51" displayName="Table2" name="Table2" id="3">
  <tableColumns count="9">
    <tableColumn name="Operation" id="1"/>
    <tableColumn name="On" id="2"/>
    <tableColumn name="By User" id="3"/>
    <tableColumn name="Is Preview" id="4"/>
    <tableColumn name="When (UTC)" id="5"/>
    <tableColumn name="Duration (sec)" id="6"/>
    <tableColumn name="Result" id="7"/>
    <tableColumn name="Performance" id="8"/>
    <tableColumn name="TraceId" id="9"/>
  </tableColumns>
  <tableStyleInfo name="App Interaction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1.xml"/><Relationship Id="rId6" Type="http://schemas.openxmlformats.org/officeDocument/2006/relationships/table" Target="../tables/table1.xml"/><Relationship Id="rId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42"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41"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44"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43"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46"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45"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1"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2"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3"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4"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9"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48"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47"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49"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5"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6"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7"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8"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31"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30"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33"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32"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35"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34"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37"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36"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39"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38"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20"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22"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21"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24"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23"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26"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25"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28"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27"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29"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51" Type="http://schemas.openxmlformats.org/officeDocument/2006/relationships/drawing" Target="../drawings/drawing2.xml"/><Relationship Id="rId50"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53" Type="http://schemas.openxmlformats.org/officeDocument/2006/relationships/table" Target="../tables/table3.xml"/><Relationship Id="rId11"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10"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13"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12"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15"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14"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17"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16"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19"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 Id="rId18" Type="http://schemas.openxmlformats.org/officeDocument/2006/relationships/hyperlink" Target="https://www.appsheet.com/Manage/ViewLog?appId=9e1f56aa-949f-4f73-ad2a-71437c1ccfca&amp;perfOnly=True&amp;syncs=true&amp;syncs=false&amp;adds=true&amp;adds=false&amp;updates=true&amp;updates=false&amp;deletes=true&amp;deletes=false&amp;workflows=true&amp;workflows=false&amp;reports=true&amp;reports=false&amp;api=true&amp;api=false&amp;documents=true&amp;documents=false&amp;startDate=1%2F1%2F2025+14%3A32%3A03&amp;endDate=12%2F15%2F2025+14%3A32%3A03&amp;failuresOnly=false&amp;tableName=&amp;userId=&amp;ruleName=&amp;submitButton=Search"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transitionalcare.ne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transitionalcare.net/"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appsheet.com:443/fsimage.png?appid=9e1f56aa-949f-4f73-ad2a-71437c1ccfca&amp;datasource=google&amp;filename=DocId%3D1-Smw4fr0vTBH0UfdLLHUFCzPYNf8hBcD&amp;signature=f73e52d2cd5beac65e9923490e6411caeb0fa7609fb6240f70f06b62fe35d879&amp;tableprovider=google&amp;userid=541359908" TargetMode="External"/><Relationship Id="rId2" Type="http://schemas.openxmlformats.org/officeDocument/2006/relationships/hyperlink" Target="http://transitionalcare.net/"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worldometers.info/world-population/congo-population/" TargetMode="External"/><Relationship Id="rId190" Type="http://schemas.openxmlformats.org/officeDocument/2006/relationships/hyperlink" Target="https://www.worldometers.info/world-population/uzbekistan-population/" TargetMode="External"/><Relationship Id="rId42" Type="http://schemas.openxmlformats.org/officeDocument/2006/relationships/hyperlink" Target="https://www.worldometers.info/world-population/cote-d-ivoire-population/" TargetMode="External"/><Relationship Id="rId41" Type="http://schemas.openxmlformats.org/officeDocument/2006/relationships/hyperlink" Target="https://www.worldometers.info/world-population/costa-rica-population/" TargetMode="External"/><Relationship Id="rId44" Type="http://schemas.openxmlformats.org/officeDocument/2006/relationships/hyperlink" Target="https://www.worldometers.info/world-population/cuba-population/" TargetMode="External"/><Relationship Id="rId194" Type="http://schemas.openxmlformats.org/officeDocument/2006/relationships/hyperlink" Target="https://www.worldometers.info/world-population/yemen-population/" TargetMode="External"/><Relationship Id="rId43" Type="http://schemas.openxmlformats.org/officeDocument/2006/relationships/hyperlink" Target="https://www.worldometers.info/world-population/croatia-population/" TargetMode="External"/><Relationship Id="rId193" Type="http://schemas.openxmlformats.org/officeDocument/2006/relationships/hyperlink" Target="https://www.worldometers.info/world-population/vietnam-population/" TargetMode="External"/><Relationship Id="rId46" Type="http://schemas.openxmlformats.org/officeDocument/2006/relationships/hyperlink" Target="https://www.worldometers.info/world-population/czechia-population/" TargetMode="External"/><Relationship Id="rId192" Type="http://schemas.openxmlformats.org/officeDocument/2006/relationships/hyperlink" Target="https://www.worldometers.info/world-population/venezuela-population/" TargetMode="External"/><Relationship Id="rId45" Type="http://schemas.openxmlformats.org/officeDocument/2006/relationships/hyperlink" Target="https://www.worldometers.info/world-population/cyprus-population/" TargetMode="External"/><Relationship Id="rId191" Type="http://schemas.openxmlformats.org/officeDocument/2006/relationships/hyperlink" Target="https://www.worldometers.info/world-population/vanuatu-population/" TargetMode="External"/><Relationship Id="rId48" Type="http://schemas.openxmlformats.org/officeDocument/2006/relationships/hyperlink" Target="https://www.worldometers.info/world-population/denmark-population/" TargetMode="External"/><Relationship Id="rId187" Type="http://schemas.openxmlformats.org/officeDocument/2006/relationships/hyperlink" Target="https://www.worldometers.info/world-population/uk-population/" TargetMode="External"/><Relationship Id="rId47" Type="http://schemas.openxmlformats.org/officeDocument/2006/relationships/hyperlink" Target="https://www.worldometers.info/world-population/democratic-republic-of-the-congo-population/" TargetMode="External"/><Relationship Id="rId186" Type="http://schemas.openxmlformats.org/officeDocument/2006/relationships/hyperlink" Target="https://www.worldometers.info/world-population/united-arab-emirates-population/" TargetMode="External"/><Relationship Id="rId185" Type="http://schemas.openxmlformats.org/officeDocument/2006/relationships/hyperlink" Target="https://www.worldometers.info/world-population/ukraine-population/" TargetMode="External"/><Relationship Id="rId49" Type="http://schemas.openxmlformats.org/officeDocument/2006/relationships/hyperlink" Target="https://www.worldometers.info/world-population/djibouti-population/" TargetMode="External"/><Relationship Id="rId184" Type="http://schemas.openxmlformats.org/officeDocument/2006/relationships/hyperlink" Target="https://www.worldometers.info/world-population/uganda-population/" TargetMode="External"/><Relationship Id="rId189" Type="http://schemas.openxmlformats.org/officeDocument/2006/relationships/hyperlink" Target="https://www.worldometers.info/world-population/uruguay-population/" TargetMode="External"/><Relationship Id="rId188" Type="http://schemas.openxmlformats.org/officeDocument/2006/relationships/hyperlink" Target="https://www.worldometers.info/world-population/us-population/" TargetMode="External"/><Relationship Id="rId31" Type="http://schemas.openxmlformats.org/officeDocument/2006/relationships/hyperlink" Target="https://www.worldometers.info/world-population/cambodia-population/" TargetMode="External"/><Relationship Id="rId30" Type="http://schemas.openxmlformats.org/officeDocument/2006/relationships/hyperlink" Target="https://www.worldometers.info/world-population/cabo-verde-population/" TargetMode="External"/><Relationship Id="rId33" Type="http://schemas.openxmlformats.org/officeDocument/2006/relationships/hyperlink" Target="https://www.worldometers.info/world-population/canada-population/" TargetMode="External"/><Relationship Id="rId183" Type="http://schemas.openxmlformats.org/officeDocument/2006/relationships/hyperlink" Target="https://www.worldometers.info/world-population/tuvalu-population/" TargetMode="External"/><Relationship Id="rId32" Type="http://schemas.openxmlformats.org/officeDocument/2006/relationships/hyperlink" Target="https://www.worldometers.info/world-population/cameroon-population/" TargetMode="External"/><Relationship Id="rId182" Type="http://schemas.openxmlformats.org/officeDocument/2006/relationships/hyperlink" Target="https://www.worldometers.info/world-population/turkmenistan-population/" TargetMode="External"/><Relationship Id="rId35" Type="http://schemas.openxmlformats.org/officeDocument/2006/relationships/hyperlink" Target="https://www.worldometers.info/world-population/chad-population/" TargetMode="External"/><Relationship Id="rId181" Type="http://schemas.openxmlformats.org/officeDocument/2006/relationships/hyperlink" Target="https://www.worldometers.info/world-population/turkey-population/" TargetMode="External"/><Relationship Id="rId34" Type="http://schemas.openxmlformats.org/officeDocument/2006/relationships/hyperlink" Target="https://www.worldometers.info/world-population/central-african-republic-population/" TargetMode="External"/><Relationship Id="rId180" Type="http://schemas.openxmlformats.org/officeDocument/2006/relationships/hyperlink" Target="https://www.worldometers.info/world-population/tunisia-population/" TargetMode="External"/><Relationship Id="rId37" Type="http://schemas.openxmlformats.org/officeDocument/2006/relationships/hyperlink" Target="https://www.worldometers.info/world-population/china-population/" TargetMode="External"/><Relationship Id="rId176" Type="http://schemas.openxmlformats.org/officeDocument/2006/relationships/hyperlink" Target="https://www.worldometers.info/world-population/timor-leste-population/" TargetMode="External"/><Relationship Id="rId36" Type="http://schemas.openxmlformats.org/officeDocument/2006/relationships/hyperlink" Target="https://www.worldometers.info/world-population/chile-population/" TargetMode="External"/><Relationship Id="rId175" Type="http://schemas.openxmlformats.org/officeDocument/2006/relationships/hyperlink" Target="https://www.worldometers.info/world-population/thailand-population/" TargetMode="External"/><Relationship Id="rId39" Type="http://schemas.openxmlformats.org/officeDocument/2006/relationships/hyperlink" Target="https://www.worldometers.info/world-population/comoros-population/" TargetMode="External"/><Relationship Id="rId174" Type="http://schemas.openxmlformats.org/officeDocument/2006/relationships/hyperlink" Target="https://www.worldometers.info/world-population/tanzania-population/" TargetMode="External"/><Relationship Id="rId38" Type="http://schemas.openxmlformats.org/officeDocument/2006/relationships/hyperlink" Target="https://www.worldometers.info/world-population/colombia-population/" TargetMode="External"/><Relationship Id="rId173" Type="http://schemas.openxmlformats.org/officeDocument/2006/relationships/hyperlink" Target="https://www.worldometers.info/world-population/tajikistan-population/" TargetMode="External"/><Relationship Id="rId179" Type="http://schemas.openxmlformats.org/officeDocument/2006/relationships/hyperlink" Target="https://www.worldometers.info/world-population/trinidad-and-tobago-population/" TargetMode="External"/><Relationship Id="rId178" Type="http://schemas.openxmlformats.org/officeDocument/2006/relationships/hyperlink" Target="https://www.worldometers.info/world-population/tonga-population/" TargetMode="External"/><Relationship Id="rId177" Type="http://schemas.openxmlformats.org/officeDocument/2006/relationships/hyperlink" Target="https://www.worldometers.info/world-population/togo-population/" TargetMode="External"/><Relationship Id="rId20" Type="http://schemas.openxmlformats.org/officeDocument/2006/relationships/hyperlink" Target="https://www.worldometers.info/world-population/benin-population/" TargetMode="External"/><Relationship Id="rId22" Type="http://schemas.openxmlformats.org/officeDocument/2006/relationships/hyperlink" Target="https://www.worldometers.info/world-population/bolivia-population/" TargetMode="External"/><Relationship Id="rId21" Type="http://schemas.openxmlformats.org/officeDocument/2006/relationships/hyperlink" Target="https://www.worldometers.info/world-population/bhutan-population/" TargetMode="External"/><Relationship Id="rId24" Type="http://schemas.openxmlformats.org/officeDocument/2006/relationships/hyperlink" Target="https://www.worldometers.info/world-population/botswana-population/" TargetMode="External"/><Relationship Id="rId23" Type="http://schemas.openxmlformats.org/officeDocument/2006/relationships/hyperlink" Target="https://www.worldometers.info/world-population/bosnia-and-herzegovina-population/" TargetMode="External"/><Relationship Id="rId26" Type="http://schemas.openxmlformats.org/officeDocument/2006/relationships/hyperlink" Target="https://www.worldometers.info/world-population/brunei-darussalam-population/" TargetMode="External"/><Relationship Id="rId25" Type="http://schemas.openxmlformats.org/officeDocument/2006/relationships/hyperlink" Target="https://www.worldometers.info/world-population/brazil-population/" TargetMode="External"/><Relationship Id="rId28" Type="http://schemas.openxmlformats.org/officeDocument/2006/relationships/hyperlink" Target="https://www.worldometers.info/world-population/burkina-faso-population/" TargetMode="External"/><Relationship Id="rId27" Type="http://schemas.openxmlformats.org/officeDocument/2006/relationships/hyperlink" Target="https://www.worldometers.info/world-population/bulgaria-population/" TargetMode="External"/><Relationship Id="rId29" Type="http://schemas.openxmlformats.org/officeDocument/2006/relationships/hyperlink" Target="https://www.worldometers.info/world-population/burundi-population/" TargetMode="External"/><Relationship Id="rId11" Type="http://schemas.openxmlformats.org/officeDocument/2006/relationships/hyperlink" Target="https://www.worldometers.info/world-population/austria-population/" TargetMode="External"/><Relationship Id="rId10" Type="http://schemas.openxmlformats.org/officeDocument/2006/relationships/hyperlink" Target="https://www.worldometers.info/world-population/australia-population/" TargetMode="External"/><Relationship Id="rId13" Type="http://schemas.openxmlformats.org/officeDocument/2006/relationships/hyperlink" Target="https://www.worldometers.info/world-population/bahamas-population/" TargetMode="External"/><Relationship Id="rId12" Type="http://schemas.openxmlformats.org/officeDocument/2006/relationships/hyperlink" Target="https://www.worldometers.info/world-population/azerbaijan-population/" TargetMode="External"/><Relationship Id="rId15" Type="http://schemas.openxmlformats.org/officeDocument/2006/relationships/hyperlink" Target="https://www.worldometers.info/world-population/bangladesh-population/" TargetMode="External"/><Relationship Id="rId198" Type="http://schemas.openxmlformats.org/officeDocument/2006/relationships/vmlDrawing" Target="../drawings/vmlDrawing1.vml"/><Relationship Id="rId14" Type="http://schemas.openxmlformats.org/officeDocument/2006/relationships/hyperlink" Target="https://www.worldometers.info/world-population/bahrain-population/" TargetMode="External"/><Relationship Id="rId197" Type="http://schemas.openxmlformats.org/officeDocument/2006/relationships/drawing" Target="../drawings/drawing12.xml"/><Relationship Id="rId17" Type="http://schemas.openxmlformats.org/officeDocument/2006/relationships/hyperlink" Target="https://www.worldometers.info/world-population/belarus-population/" TargetMode="External"/><Relationship Id="rId196" Type="http://schemas.openxmlformats.org/officeDocument/2006/relationships/hyperlink" Target="https://www.worldometers.info/world-population/zimbabwe-population/" TargetMode="External"/><Relationship Id="rId16" Type="http://schemas.openxmlformats.org/officeDocument/2006/relationships/hyperlink" Target="https://www.worldometers.info/world-population/barbados-population/" TargetMode="External"/><Relationship Id="rId195" Type="http://schemas.openxmlformats.org/officeDocument/2006/relationships/hyperlink" Target="https://www.worldometers.info/world-population/zambia-population/" TargetMode="External"/><Relationship Id="rId19" Type="http://schemas.openxmlformats.org/officeDocument/2006/relationships/hyperlink" Target="https://www.worldometers.info/world-population/belize-population/" TargetMode="External"/><Relationship Id="rId18" Type="http://schemas.openxmlformats.org/officeDocument/2006/relationships/hyperlink" Target="https://www.worldometers.info/world-population/belgium-population/" TargetMode="External"/><Relationship Id="rId84" Type="http://schemas.openxmlformats.org/officeDocument/2006/relationships/hyperlink" Target="https://www.worldometers.info/world-population/israel-population/" TargetMode="External"/><Relationship Id="rId83" Type="http://schemas.openxmlformats.org/officeDocument/2006/relationships/hyperlink" Target="https://www.worldometers.info/world-population/ireland-population/" TargetMode="External"/><Relationship Id="rId86" Type="http://schemas.openxmlformats.org/officeDocument/2006/relationships/hyperlink" Target="https://www.worldometers.info/world-population/jamaica-population/" TargetMode="External"/><Relationship Id="rId85" Type="http://schemas.openxmlformats.org/officeDocument/2006/relationships/hyperlink" Target="https://www.worldometers.info/world-population/italy-population/" TargetMode="External"/><Relationship Id="rId88" Type="http://schemas.openxmlformats.org/officeDocument/2006/relationships/hyperlink" Target="https://www.worldometers.info/world-population/jordan-population/" TargetMode="External"/><Relationship Id="rId150" Type="http://schemas.openxmlformats.org/officeDocument/2006/relationships/hyperlink" Target="https://www.worldometers.info/world-population/samoa-population/" TargetMode="External"/><Relationship Id="rId87" Type="http://schemas.openxmlformats.org/officeDocument/2006/relationships/hyperlink" Target="https://www.worldometers.info/world-population/japan-population/" TargetMode="External"/><Relationship Id="rId89" Type="http://schemas.openxmlformats.org/officeDocument/2006/relationships/hyperlink" Target="https://www.worldometers.info/world-population/kazakhstan-population/" TargetMode="External"/><Relationship Id="rId80" Type="http://schemas.openxmlformats.org/officeDocument/2006/relationships/hyperlink" Target="https://www.worldometers.info/world-population/indonesia-population/" TargetMode="External"/><Relationship Id="rId82" Type="http://schemas.openxmlformats.org/officeDocument/2006/relationships/hyperlink" Target="https://www.worldometers.info/world-population/iraq-population/" TargetMode="External"/><Relationship Id="rId81" Type="http://schemas.openxmlformats.org/officeDocument/2006/relationships/hyperlink" Target="https://www.worldometers.info/world-population/iran-population/" TargetMode="External"/><Relationship Id="rId1" Type="http://schemas.openxmlformats.org/officeDocument/2006/relationships/comments" Target="../comments1.xml"/><Relationship Id="rId2" Type="http://schemas.openxmlformats.org/officeDocument/2006/relationships/hyperlink" Target="https://www.worldometers.info/world-population/afghanistan-population/" TargetMode="External"/><Relationship Id="rId3" Type="http://schemas.openxmlformats.org/officeDocument/2006/relationships/hyperlink" Target="https://www.worldometers.info/world-population/albania-population/" TargetMode="External"/><Relationship Id="rId149" Type="http://schemas.openxmlformats.org/officeDocument/2006/relationships/hyperlink" Target="https://www.worldometers.info/world-population/saint-vincent-and-the-grenadines-population/" TargetMode="External"/><Relationship Id="rId4" Type="http://schemas.openxmlformats.org/officeDocument/2006/relationships/hyperlink" Target="https://www.worldometers.info/world-population/algeria-population/" TargetMode="External"/><Relationship Id="rId148" Type="http://schemas.openxmlformats.org/officeDocument/2006/relationships/hyperlink" Target="https://www.worldometers.info/world-population/saint-lucia-population/" TargetMode="External"/><Relationship Id="rId9" Type="http://schemas.openxmlformats.org/officeDocument/2006/relationships/hyperlink" Target="https://www.worldometers.info/world-population/armenia-population/" TargetMode="External"/><Relationship Id="rId143" Type="http://schemas.openxmlformats.org/officeDocument/2006/relationships/hyperlink" Target="https://www.worldometers.info/world-population/qatar-population/" TargetMode="External"/><Relationship Id="rId142" Type="http://schemas.openxmlformats.org/officeDocument/2006/relationships/hyperlink" Target="https://www.worldometers.info/world-population/portugal-population/" TargetMode="External"/><Relationship Id="rId141" Type="http://schemas.openxmlformats.org/officeDocument/2006/relationships/hyperlink" Target="https://www.worldometers.info/world-population/poland-population/" TargetMode="External"/><Relationship Id="rId140" Type="http://schemas.openxmlformats.org/officeDocument/2006/relationships/hyperlink" Target="https://www.worldometers.info/world-population/philippines-population/" TargetMode="External"/><Relationship Id="rId5" Type="http://schemas.openxmlformats.org/officeDocument/2006/relationships/hyperlink" Target="https://www.worldometers.info/world-population/andorra-population/" TargetMode="External"/><Relationship Id="rId147" Type="http://schemas.openxmlformats.org/officeDocument/2006/relationships/hyperlink" Target="https://www.worldometers.info/world-population/saint-kitts-and-nevis-population/" TargetMode="External"/><Relationship Id="rId6" Type="http://schemas.openxmlformats.org/officeDocument/2006/relationships/hyperlink" Target="https://www.worldometers.info/world-population/angola-population/" TargetMode="External"/><Relationship Id="rId146" Type="http://schemas.openxmlformats.org/officeDocument/2006/relationships/hyperlink" Target="https://www.worldometers.info/world-population/rwanda-population/" TargetMode="External"/><Relationship Id="rId7" Type="http://schemas.openxmlformats.org/officeDocument/2006/relationships/hyperlink" Target="https://www.worldometers.info/world-population/antigua-and-barbuda-population/" TargetMode="External"/><Relationship Id="rId145" Type="http://schemas.openxmlformats.org/officeDocument/2006/relationships/hyperlink" Target="https://www.worldometers.info/world-population/russia-population/" TargetMode="External"/><Relationship Id="rId8" Type="http://schemas.openxmlformats.org/officeDocument/2006/relationships/hyperlink" Target="https://www.worldometers.info/world-population/argentina-population/" TargetMode="External"/><Relationship Id="rId144" Type="http://schemas.openxmlformats.org/officeDocument/2006/relationships/hyperlink" Target="https://www.worldometers.info/world-population/romania-population/" TargetMode="External"/><Relationship Id="rId73" Type="http://schemas.openxmlformats.org/officeDocument/2006/relationships/hyperlink" Target="https://www.worldometers.info/world-population/guyana-population/" TargetMode="External"/><Relationship Id="rId72" Type="http://schemas.openxmlformats.org/officeDocument/2006/relationships/hyperlink" Target="https://www.worldometers.info/world-population/guinea-bissau-population/" TargetMode="External"/><Relationship Id="rId75" Type="http://schemas.openxmlformats.org/officeDocument/2006/relationships/hyperlink" Target="https://www.worldometers.info/world-population/holy-see-population/" TargetMode="External"/><Relationship Id="rId74" Type="http://schemas.openxmlformats.org/officeDocument/2006/relationships/hyperlink" Target="https://www.worldometers.info/world-population/haiti-population/" TargetMode="External"/><Relationship Id="rId77" Type="http://schemas.openxmlformats.org/officeDocument/2006/relationships/hyperlink" Target="https://www.worldometers.info/world-population/hungary-population/" TargetMode="External"/><Relationship Id="rId76" Type="http://schemas.openxmlformats.org/officeDocument/2006/relationships/hyperlink" Target="https://www.worldometers.info/world-population/honduras-population/" TargetMode="External"/><Relationship Id="rId79" Type="http://schemas.openxmlformats.org/officeDocument/2006/relationships/hyperlink" Target="https://www.worldometers.info/world-population/india-population/" TargetMode="External"/><Relationship Id="rId78" Type="http://schemas.openxmlformats.org/officeDocument/2006/relationships/hyperlink" Target="https://www.worldometers.info/world-population/iceland-population/" TargetMode="External"/><Relationship Id="rId71" Type="http://schemas.openxmlformats.org/officeDocument/2006/relationships/hyperlink" Target="https://www.worldometers.info/world-population/guinea-population/" TargetMode="External"/><Relationship Id="rId70" Type="http://schemas.openxmlformats.org/officeDocument/2006/relationships/hyperlink" Target="https://www.worldometers.info/world-population/guatemala-population/" TargetMode="External"/><Relationship Id="rId139" Type="http://schemas.openxmlformats.org/officeDocument/2006/relationships/hyperlink" Target="https://www.worldometers.info/world-population/peru-population/" TargetMode="External"/><Relationship Id="rId138" Type="http://schemas.openxmlformats.org/officeDocument/2006/relationships/hyperlink" Target="https://www.worldometers.info/world-population/paraguay-population/" TargetMode="External"/><Relationship Id="rId137" Type="http://schemas.openxmlformats.org/officeDocument/2006/relationships/hyperlink" Target="https://www.worldometers.info/world-population/papua-new-guinea-population/" TargetMode="External"/><Relationship Id="rId132" Type="http://schemas.openxmlformats.org/officeDocument/2006/relationships/hyperlink" Target="https://www.worldometers.info/world-population/oman-population/" TargetMode="External"/><Relationship Id="rId131" Type="http://schemas.openxmlformats.org/officeDocument/2006/relationships/hyperlink" Target="https://www.worldometers.info/world-population/norway-population/" TargetMode="External"/><Relationship Id="rId130" Type="http://schemas.openxmlformats.org/officeDocument/2006/relationships/hyperlink" Target="https://www.worldometers.info/world-population/north-macedonia-population/" TargetMode="External"/><Relationship Id="rId136" Type="http://schemas.openxmlformats.org/officeDocument/2006/relationships/hyperlink" Target="https://www.worldometers.info/world-population/panama-population/" TargetMode="External"/><Relationship Id="rId135" Type="http://schemas.openxmlformats.org/officeDocument/2006/relationships/hyperlink" Target="https://www.worldometers.info/world-population/state-of-palestine-population/" TargetMode="External"/><Relationship Id="rId134" Type="http://schemas.openxmlformats.org/officeDocument/2006/relationships/hyperlink" Target="https://www.worldometers.info/world-population/palau-population/" TargetMode="External"/><Relationship Id="rId133" Type="http://schemas.openxmlformats.org/officeDocument/2006/relationships/hyperlink" Target="https://www.worldometers.info/world-population/pakistan-population/" TargetMode="External"/><Relationship Id="rId62" Type="http://schemas.openxmlformats.org/officeDocument/2006/relationships/hyperlink" Target="https://www.worldometers.info/world-population/france-population/" TargetMode="External"/><Relationship Id="rId61" Type="http://schemas.openxmlformats.org/officeDocument/2006/relationships/hyperlink" Target="https://www.worldometers.info/world-population/finland-population/" TargetMode="External"/><Relationship Id="rId64" Type="http://schemas.openxmlformats.org/officeDocument/2006/relationships/hyperlink" Target="https://www.worldometers.info/world-population/gambia-population/" TargetMode="External"/><Relationship Id="rId63" Type="http://schemas.openxmlformats.org/officeDocument/2006/relationships/hyperlink" Target="https://www.worldometers.info/world-population/gabon-population/" TargetMode="External"/><Relationship Id="rId66" Type="http://schemas.openxmlformats.org/officeDocument/2006/relationships/hyperlink" Target="https://www.worldometers.info/world-population/germany-population/" TargetMode="External"/><Relationship Id="rId172" Type="http://schemas.openxmlformats.org/officeDocument/2006/relationships/hyperlink" Target="https://www.worldometers.info/world-population/syria-population/" TargetMode="External"/><Relationship Id="rId65" Type="http://schemas.openxmlformats.org/officeDocument/2006/relationships/hyperlink" Target="https://www.worldometers.info/world-population/georgia-population/" TargetMode="External"/><Relationship Id="rId171" Type="http://schemas.openxmlformats.org/officeDocument/2006/relationships/hyperlink" Target="https://www.worldometers.info/world-population/switzerland-population/" TargetMode="External"/><Relationship Id="rId68" Type="http://schemas.openxmlformats.org/officeDocument/2006/relationships/hyperlink" Target="https://www.worldometers.info/world-population/greece-population/" TargetMode="External"/><Relationship Id="rId170" Type="http://schemas.openxmlformats.org/officeDocument/2006/relationships/hyperlink" Target="https://www.worldometers.info/world-population/sweden-population/" TargetMode="External"/><Relationship Id="rId67" Type="http://schemas.openxmlformats.org/officeDocument/2006/relationships/hyperlink" Target="https://www.worldometers.info/world-population/ghana-population/" TargetMode="External"/><Relationship Id="rId60" Type="http://schemas.openxmlformats.org/officeDocument/2006/relationships/hyperlink" Target="https://www.worldometers.info/world-population/fiji-population/" TargetMode="External"/><Relationship Id="rId165" Type="http://schemas.openxmlformats.org/officeDocument/2006/relationships/hyperlink" Target="https://www.worldometers.info/world-population/south-sudan-population/" TargetMode="External"/><Relationship Id="rId69" Type="http://schemas.openxmlformats.org/officeDocument/2006/relationships/hyperlink" Target="https://www.worldometers.info/world-population/grenada-population/" TargetMode="External"/><Relationship Id="rId164" Type="http://schemas.openxmlformats.org/officeDocument/2006/relationships/hyperlink" Target="https://www.worldometers.info/world-population/south-korea-population/" TargetMode="External"/><Relationship Id="rId163" Type="http://schemas.openxmlformats.org/officeDocument/2006/relationships/hyperlink" Target="https://www.worldometers.info/world-population/south-africa-population/" TargetMode="External"/><Relationship Id="rId162" Type="http://schemas.openxmlformats.org/officeDocument/2006/relationships/hyperlink" Target="https://www.worldometers.info/world-population/somalia-population/" TargetMode="External"/><Relationship Id="rId169" Type="http://schemas.openxmlformats.org/officeDocument/2006/relationships/hyperlink" Target="https://www.worldometers.info/world-population/suriname-population/" TargetMode="External"/><Relationship Id="rId168" Type="http://schemas.openxmlformats.org/officeDocument/2006/relationships/hyperlink" Target="https://www.worldometers.info/world-population/sudan-population/" TargetMode="External"/><Relationship Id="rId167" Type="http://schemas.openxmlformats.org/officeDocument/2006/relationships/hyperlink" Target="https://www.worldometers.info/world-population/sri-lanka-population/" TargetMode="External"/><Relationship Id="rId166" Type="http://schemas.openxmlformats.org/officeDocument/2006/relationships/hyperlink" Target="https://www.worldometers.info/world-population/spain-population/" TargetMode="External"/><Relationship Id="rId51" Type="http://schemas.openxmlformats.org/officeDocument/2006/relationships/hyperlink" Target="https://www.worldometers.info/world-population/dominican-republic-population/" TargetMode="External"/><Relationship Id="rId50" Type="http://schemas.openxmlformats.org/officeDocument/2006/relationships/hyperlink" Target="https://www.worldometers.info/world-population/dominica-population/" TargetMode="External"/><Relationship Id="rId53" Type="http://schemas.openxmlformats.org/officeDocument/2006/relationships/hyperlink" Target="https://www.worldometers.info/world-population/egypt-population/" TargetMode="External"/><Relationship Id="rId52" Type="http://schemas.openxmlformats.org/officeDocument/2006/relationships/hyperlink" Target="https://www.worldometers.info/world-population/ecuador-population/" TargetMode="External"/><Relationship Id="rId55" Type="http://schemas.openxmlformats.org/officeDocument/2006/relationships/hyperlink" Target="https://www.worldometers.info/world-population/equatorial-guinea-population/" TargetMode="External"/><Relationship Id="rId161" Type="http://schemas.openxmlformats.org/officeDocument/2006/relationships/hyperlink" Target="https://www.worldometers.info/world-population/solomon-islands-population/" TargetMode="External"/><Relationship Id="rId54" Type="http://schemas.openxmlformats.org/officeDocument/2006/relationships/hyperlink" Target="https://www.worldometers.info/world-population/el-salvador-population/" TargetMode="External"/><Relationship Id="rId160" Type="http://schemas.openxmlformats.org/officeDocument/2006/relationships/hyperlink" Target="https://www.worldometers.info/world-population/slovenia-population/" TargetMode="External"/><Relationship Id="rId57" Type="http://schemas.openxmlformats.org/officeDocument/2006/relationships/hyperlink" Target="https://www.worldometers.info/world-population/estonia-population/" TargetMode="External"/><Relationship Id="rId56" Type="http://schemas.openxmlformats.org/officeDocument/2006/relationships/hyperlink" Target="https://www.worldometers.info/world-population/eritrea-population/" TargetMode="External"/><Relationship Id="rId159" Type="http://schemas.openxmlformats.org/officeDocument/2006/relationships/hyperlink" Target="https://www.worldometers.info/world-population/slovakia-population/" TargetMode="External"/><Relationship Id="rId59" Type="http://schemas.openxmlformats.org/officeDocument/2006/relationships/hyperlink" Target="https://www.worldometers.info/world-population/ethiopia-population/" TargetMode="External"/><Relationship Id="rId154" Type="http://schemas.openxmlformats.org/officeDocument/2006/relationships/hyperlink" Target="https://www.worldometers.info/world-population/senegal-population/" TargetMode="External"/><Relationship Id="rId58" Type="http://schemas.openxmlformats.org/officeDocument/2006/relationships/hyperlink" Target="https://www.worldometers.info/world-population/swaziland-population/" TargetMode="External"/><Relationship Id="rId153" Type="http://schemas.openxmlformats.org/officeDocument/2006/relationships/hyperlink" Target="https://www.worldometers.info/world-population/saudi-arabia-population/" TargetMode="External"/><Relationship Id="rId152" Type="http://schemas.openxmlformats.org/officeDocument/2006/relationships/hyperlink" Target="https://www.worldometers.info/world-population/sao-tome-and-principe-population/" TargetMode="External"/><Relationship Id="rId151" Type="http://schemas.openxmlformats.org/officeDocument/2006/relationships/hyperlink" Target="https://www.worldometers.info/world-population/san-marino-population/" TargetMode="External"/><Relationship Id="rId158" Type="http://schemas.openxmlformats.org/officeDocument/2006/relationships/hyperlink" Target="https://www.worldometers.info/world-population/singapore-population/" TargetMode="External"/><Relationship Id="rId157" Type="http://schemas.openxmlformats.org/officeDocument/2006/relationships/hyperlink" Target="https://www.worldometers.info/world-population/sierra-leone-population/" TargetMode="External"/><Relationship Id="rId156" Type="http://schemas.openxmlformats.org/officeDocument/2006/relationships/hyperlink" Target="https://www.worldometers.info/world-population/seychelles-population/" TargetMode="External"/><Relationship Id="rId155" Type="http://schemas.openxmlformats.org/officeDocument/2006/relationships/hyperlink" Target="https://www.worldometers.info/world-population/serbia-population/" TargetMode="External"/><Relationship Id="rId107" Type="http://schemas.openxmlformats.org/officeDocument/2006/relationships/hyperlink" Target="https://www.worldometers.info/world-population/mali-population/" TargetMode="External"/><Relationship Id="rId106" Type="http://schemas.openxmlformats.org/officeDocument/2006/relationships/hyperlink" Target="https://www.worldometers.info/world-population/maldives-population/" TargetMode="External"/><Relationship Id="rId105" Type="http://schemas.openxmlformats.org/officeDocument/2006/relationships/hyperlink" Target="https://www.worldometers.info/world-population/malaysia-population/" TargetMode="External"/><Relationship Id="rId104" Type="http://schemas.openxmlformats.org/officeDocument/2006/relationships/hyperlink" Target="https://www.worldometers.info/world-population/malawi-population/" TargetMode="External"/><Relationship Id="rId109" Type="http://schemas.openxmlformats.org/officeDocument/2006/relationships/hyperlink" Target="https://www.worldometers.info/world-population/marshall-islands-population/" TargetMode="External"/><Relationship Id="rId108" Type="http://schemas.openxmlformats.org/officeDocument/2006/relationships/hyperlink" Target="https://www.worldometers.info/world-population/malta-population/" TargetMode="External"/><Relationship Id="rId103" Type="http://schemas.openxmlformats.org/officeDocument/2006/relationships/hyperlink" Target="https://www.worldometers.info/world-population/madagascar-population/" TargetMode="External"/><Relationship Id="rId102" Type="http://schemas.openxmlformats.org/officeDocument/2006/relationships/hyperlink" Target="https://www.worldometers.info/world-population/luxembourg-population/" TargetMode="External"/><Relationship Id="rId101" Type="http://schemas.openxmlformats.org/officeDocument/2006/relationships/hyperlink" Target="https://www.worldometers.info/world-population/lithuania-population/" TargetMode="External"/><Relationship Id="rId100" Type="http://schemas.openxmlformats.org/officeDocument/2006/relationships/hyperlink" Target="https://www.worldometers.info/world-population/liechtenstein-population/" TargetMode="External"/><Relationship Id="rId129" Type="http://schemas.openxmlformats.org/officeDocument/2006/relationships/hyperlink" Target="https://www.worldometers.info/world-population/north-korea-population/" TargetMode="External"/><Relationship Id="rId128" Type="http://schemas.openxmlformats.org/officeDocument/2006/relationships/hyperlink" Target="https://www.worldometers.info/world-population/nigeria-population/" TargetMode="External"/><Relationship Id="rId127" Type="http://schemas.openxmlformats.org/officeDocument/2006/relationships/hyperlink" Target="https://www.worldometers.info/world-population/niger-population/" TargetMode="External"/><Relationship Id="rId126" Type="http://schemas.openxmlformats.org/officeDocument/2006/relationships/hyperlink" Target="https://www.worldometers.info/world-population/nicaragua-population/" TargetMode="External"/><Relationship Id="rId121" Type="http://schemas.openxmlformats.org/officeDocument/2006/relationships/hyperlink" Target="https://www.worldometers.info/world-population/namibia-population/" TargetMode="External"/><Relationship Id="rId120" Type="http://schemas.openxmlformats.org/officeDocument/2006/relationships/hyperlink" Target="https://www.worldometers.info/world-population/myanmar-population/" TargetMode="External"/><Relationship Id="rId125" Type="http://schemas.openxmlformats.org/officeDocument/2006/relationships/hyperlink" Target="https://www.worldometers.info/world-population/new-zealand-population/" TargetMode="External"/><Relationship Id="rId124" Type="http://schemas.openxmlformats.org/officeDocument/2006/relationships/hyperlink" Target="https://www.worldometers.info/world-population/netherlands-population/" TargetMode="External"/><Relationship Id="rId123" Type="http://schemas.openxmlformats.org/officeDocument/2006/relationships/hyperlink" Target="https://www.worldometers.info/world-population/nepal-population/" TargetMode="External"/><Relationship Id="rId122" Type="http://schemas.openxmlformats.org/officeDocument/2006/relationships/hyperlink" Target="https://www.worldometers.info/world-population/nauru-population/" TargetMode="External"/><Relationship Id="rId95" Type="http://schemas.openxmlformats.org/officeDocument/2006/relationships/hyperlink" Target="https://www.worldometers.info/world-population/latvia-population/" TargetMode="External"/><Relationship Id="rId94" Type="http://schemas.openxmlformats.org/officeDocument/2006/relationships/hyperlink" Target="https://www.worldometers.info/world-population/laos-population/" TargetMode="External"/><Relationship Id="rId97" Type="http://schemas.openxmlformats.org/officeDocument/2006/relationships/hyperlink" Target="https://www.worldometers.info/world-population/lesotho-population/" TargetMode="External"/><Relationship Id="rId96" Type="http://schemas.openxmlformats.org/officeDocument/2006/relationships/hyperlink" Target="https://www.worldometers.info/world-population/lebanon-population/" TargetMode="External"/><Relationship Id="rId99" Type="http://schemas.openxmlformats.org/officeDocument/2006/relationships/hyperlink" Target="https://www.worldometers.info/world-population/libya-population/" TargetMode="External"/><Relationship Id="rId98" Type="http://schemas.openxmlformats.org/officeDocument/2006/relationships/hyperlink" Target="https://www.worldometers.info/world-population/liberia-population/" TargetMode="External"/><Relationship Id="rId91" Type="http://schemas.openxmlformats.org/officeDocument/2006/relationships/hyperlink" Target="https://www.worldometers.info/world-population/kiribati-population/" TargetMode="External"/><Relationship Id="rId90" Type="http://schemas.openxmlformats.org/officeDocument/2006/relationships/hyperlink" Target="https://www.worldometers.info/world-population/kenya-population/" TargetMode="External"/><Relationship Id="rId93" Type="http://schemas.openxmlformats.org/officeDocument/2006/relationships/hyperlink" Target="https://www.worldometers.info/world-population/kyrgyzstan-population/" TargetMode="External"/><Relationship Id="rId92" Type="http://schemas.openxmlformats.org/officeDocument/2006/relationships/hyperlink" Target="https://www.worldometers.info/world-population/kuwait-population/" TargetMode="External"/><Relationship Id="rId118" Type="http://schemas.openxmlformats.org/officeDocument/2006/relationships/hyperlink" Target="https://www.worldometers.info/world-population/morocco-population/" TargetMode="External"/><Relationship Id="rId117" Type="http://schemas.openxmlformats.org/officeDocument/2006/relationships/hyperlink" Target="https://www.worldometers.info/world-population/montenegro-population/" TargetMode="External"/><Relationship Id="rId116" Type="http://schemas.openxmlformats.org/officeDocument/2006/relationships/hyperlink" Target="https://www.worldometers.info/world-population/mongolia-population/" TargetMode="External"/><Relationship Id="rId115" Type="http://schemas.openxmlformats.org/officeDocument/2006/relationships/hyperlink" Target="https://www.worldometers.info/world-population/monaco-population/" TargetMode="External"/><Relationship Id="rId119" Type="http://schemas.openxmlformats.org/officeDocument/2006/relationships/hyperlink" Target="https://www.worldometers.info/world-population/mozambique-population/" TargetMode="External"/><Relationship Id="rId110" Type="http://schemas.openxmlformats.org/officeDocument/2006/relationships/hyperlink" Target="https://www.worldometers.info/world-population/mauritania-population/" TargetMode="External"/><Relationship Id="rId114" Type="http://schemas.openxmlformats.org/officeDocument/2006/relationships/hyperlink" Target="https://www.worldometers.info/world-population/moldova-population/" TargetMode="External"/><Relationship Id="rId113" Type="http://schemas.openxmlformats.org/officeDocument/2006/relationships/hyperlink" Target="https://www.worldometers.info/world-population/micronesia-population/" TargetMode="External"/><Relationship Id="rId112" Type="http://schemas.openxmlformats.org/officeDocument/2006/relationships/hyperlink" Target="https://www.worldometers.info/world-population/mexico-population/" TargetMode="External"/><Relationship Id="rId111" Type="http://schemas.openxmlformats.org/officeDocument/2006/relationships/hyperlink" Target="https://www.worldometers.info/world-population/mauritius-population/"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anything-helps.org/" TargetMode="External"/><Relationship Id="rId2" Type="http://schemas.openxmlformats.org/officeDocument/2006/relationships/hyperlink" Target="https://www.ai-designtech.com" TargetMode="External"/><Relationship Id="rId3" Type="http://schemas.openxmlformats.org/officeDocument/2006/relationships/hyperlink" Target="http://www.thefinancialeducationgroup.com"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28.5"/>
    <col customWidth="1" min="3" max="3" width="19.5"/>
    <col customWidth="1" min="4" max="5" width="28.5"/>
    <col customWidth="1" min="6" max="6" width="19.5"/>
  </cols>
  <sheetData>
    <row r="1" ht="22.5" customHeight="1">
      <c r="A1" s="1" t="s">
        <v>0</v>
      </c>
      <c r="B1" s="2" t="s">
        <v>1</v>
      </c>
      <c r="C1" s="1" t="s">
        <v>2</v>
      </c>
      <c r="D1" s="2" t="s">
        <v>3</v>
      </c>
      <c r="E1" s="2" t="s">
        <v>4</v>
      </c>
      <c r="F1" s="1" t="s">
        <v>5</v>
      </c>
    </row>
    <row r="2" ht="22.5" customHeight="1">
      <c r="A2" s="3" t="s">
        <v>6</v>
      </c>
      <c r="B2" s="4" t="s">
        <v>7</v>
      </c>
      <c r="C2" s="3" t="s">
        <v>8</v>
      </c>
      <c r="D2" s="5">
        <f>counta(ReferralLog!A2:A25)</f>
        <v>24</v>
      </c>
      <c r="E2" s="6">
        <v>1.0</v>
      </c>
      <c r="F2" s="3" t="s">
        <v>9</v>
      </c>
    </row>
    <row r="3" ht="22.5" customHeight="1">
      <c r="A3" s="3" t="s">
        <v>10</v>
      </c>
      <c r="B3" s="4" t="s">
        <v>11</v>
      </c>
      <c r="C3" s="3" t="s">
        <v>12</v>
      </c>
      <c r="D3" s="5">
        <f>counta(ParticipantProfile!A2:A12)</f>
        <v>11</v>
      </c>
      <c r="E3" s="6">
        <v>1.0</v>
      </c>
      <c r="F3" s="3" t="s">
        <v>13</v>
      </c>
    </row>
    <row r="4" ht="22.5" customHeight="1">
      <c r="A4" s="3" t="s">
        <v>14</v>
      </c>
      <c r="B4" s="4" t="s">
        <v>15</v>
      </c>
      <c r="C4" s="3" t="s">
        <v>16</v>
      </c>
      <c r="D4" s="5"/>
      <c r="E4" s="6">
        <v>1.0</v>
      </c>
      <c r="F4" s="3" t="s">
        <v>17</v>
      </c>
    </row>
    <row r="5" ht="22.5" customHeight="1">
      <c r="A5" s="3" t="s">
        <v>18</v>
      </c>
      <c r="B5" s="4" t="s">
        <v>19</v>
      </c>
      <c r="C5" s="3" t="s">
        <v>20</v>
      </c>
      <c r="D5" s="5"/>
      <c r="E5" s="6">
        <v>1.0</v>
      </c>
      <c r="F5" s="3" t="s">
        <v>21</v>
      </c>
    </row>
    <row r="6" ht="22.5" customHeight="1">
      <c r="A6" s="3" t="s">
        <v>22</v>
      </c>
      <c r="B6" s="7" t="s">
        <v>23</v>
      </c>
      <c r="C6" s="3" t="s">
        <v>24</v>
      </c>
      <c r="D6" s="5">
        <f>counta(Table2[Operation])</f>
        <v>50</v>
      </c>
      <c r="E6" s="6">
        <v>1.0</v>
      </c>
      <c r="F6" s="3" t="s">
        <v>25</v>
      </c>
    </row>
    <row r="7" ht="22.5" customHeight="1">
      <c r="A7" s="3" t="s">
        <v>26</v>
      </c>
      <c r="B7" s="4" t="s">
        <v>27</v>
      </c>
      <c r="C7" s="3" t="s">
        <v>28</v>
      </c>
      <c r="D7" s="5">
        <f>counta(CommunityPartners!A4:A18)</f>
        <v>15</v>
      </c>
      <c r="E7" s="6">
        <v>1.0</v>
      </c>
      <c r="F7" s="3" t="s">
        <v>29</v>
      </c>
    </row>
    <row r="10"/>
    <row r="11"/>
    <row r="12"/>
    <row r="13"/>
    <row r="14"/>
    <row r="15"/>
    <row r="16"/>
    <row r="17"/>
    <row r="41" ht="22.5" customHeight="1">
      <c r="A41" s="10" t="s">
        <v>32</v>
      </c>
      <c r="B41" s="10" t="s">
        <v>33</v>
      </c>
      <c r="C41" s="10" t="s">
        <v>34</v>
      </c>
      <c r="D41" s="10" t="s">
        <v>35</v>
      </c>
    </row>
    <row r="42" ht="22.5" customHeight="1">
      <c r="A42" s="11" t="s">
        <v>36</v>
      </c>
      <c r="B42" s="11">
        <v>7.0</v>
      </c>
      <c r="C42" s="12" t="s">
        <v>37</v>
      </c>
      <c r="D42" s="12" t="s">
        <v>38</v>
      </c>
    </row>
    <row r="43" ht="22.5" customHeight="1">
      <c r="A43" s="11" t="s">
        <v>39</v>
      </c>
      <c r="B43" s="11">
        <v>5.0</v>
      </c>
      <c r="C43" s="12" t="s">
        <v>40</v>
      </c>
      <c r="D43" s="12" t="s">
        <v>41</v>
      </c>
    </row>
    <row r="44" ht="22.5" customHeight="1">
      <c r="A44" s="11" t="s">
        <v>42</v>
      </c>
      <c r="B44" s="11">
        <v>4.0</v>
      </c>
      <c r="C44" s="12" t="s">
        <v>43</v>
      </c>
      <c r="D44" s="12" t="s">
        <v>44</v>
      </c>
    </row>
    <row r="45" ht="22.5" customHeight="1">
      <c r="A45" s="11" t="s">
        <v>45</v>
      </c>
      <c r="B45" s="11">
        <v>4.0</v>
      </c>
      <c r="C45" s="12" t="s">
        <v>46</v>
      </c>
      <c r="D45" s="12" t="s">
        <v>47</v>
      </c>
    </row>
    <row r="46" ht="22.5" customHeight="1">
      <c r="A46" s="11" t="s">
        <v>48</v>
      </c>
      <c r="B46" s="11">
        <v>3.0</v>
      </c>
      <c r="C46" s="12" t="s">
        <v>49</v>
      </c>
      <c r="D46" s="12" t="s">
        <v>50</v>
      </c>
    </row>
    <row r="47" ht="22.5" customHeight="1">
      <c r="A47" s="11" t="s">
        <v>51</v>
      </c>
      <c r="B47" s="11">
        <v>3.0</v>
      </c>
      <c r="C47" s="12" t="s">
        <v>52</v>
      </c>
      <c r="D47" s="12" t="s">
        <v>53</v>
      </c>
    </row>
    <row r="48" ht="22.5" customHeight="1">
      <c r="A48" s="11" t="s">
        <v>54</v>
      </c>
      <c r="B48" s="11">
        <v>2.0</v>
      </c>
      <c r="C48" s="12" t="s">
        <v>55</v>
      </c>
      <c r="D48" s="12" t="s">
        <v>56</v>
      </c>
    </row>
    <row r="51"/>
    <row r="52"/>
    <row r="53"/>
    <row r="54"/>
    <row r="55">
      <c r="D55" s="13"/>
    </row>
    <row r="56"/>
    <row r="57"/>
    <row r="58"/>
    <row r="59"/>
  </sheetData>
  <dataValidations>
    <dataValidation type="custom" allowBlank="1" showDropDown="1" sqref="D2:D7">
      <formula1>AND(ISNUMBER(D2),(NOT(OR(NOT(ISERROR(DATEVALUE(D2))), AND(ISNUMBER(D2), LEFT(CELL("format", D2))="D")))))</formula1>
    </dataValidation>
  </dataValidations>
  <printOptions gridLines="1" horizontalCentered="1"/>
  <pageMargins bottom="0.75" footer="0.0" header="0.0" left="0.7" right="0.7" top="0.75"/>
  <pageSetup fitToHeight="0" cellComments="atEnd" orientation="landscape" pageOrder="overThenDown"/>
  <drawing r:id="rId3"/>
  <tableParts count="2">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27.38"/>
    <col customWidth="1" min="4" max="4" width="13.75"/>
    <col customWidth="1" min="5" max="5" width="19.5"/>
    <col customWidth="1" min="6" max="6" width="17.0"/>
    <col customWidth="1" min="8" max="8" width="16.13"/>
  </cols>
  <sheetData>
    <row r="1" ht="22.5" customHeight="1">
      <c r="A1" s="14" t="s">
        <v>58</v>
      </c>
      <c r="B1" s="14" t="s">
        <v>59</v>
      </c>
      <c r="C1" s="14" t="s">
        <v>60</v>
      </c>
      <c r="D1" s="14" t="s">
        <v>61</v>
      </c>
      <c r="E1" s="14" t="s">
        <v>62</v>
      </c>
      <c r="F1" s="14" t="s">
        <v>63</v>
      </c>
      <c r="G1" s="14" t="s">
        <v>64</v>
      </c>
      <c r="H1" s="14" t="s">
        <v>65</v>
      </c>
      <c r="I1" s="14" t="s">
        <v>66</v>
      </c>
    </row>
    <row r="2" ht="22.5" customHeight="1">
      <c r="A2" s="15" t="s">
        <v>67</v>
      </c>
      <c r="B2" s="16"/>
      <c r="C2" s="17" t="s">
        <v>68</v>
      </c>
      <c r="D2" s="18" t="b">
        <v>0</v>
      </c>
      <c r="E2" s="19">
        <v>45999.76819444444</v>
      </c>
      <c r="F2" s="18">
        <v>2.757</v>
      </c>
      <c r="G2" s="18" t="s">
        <v>69</v>
      </c>
      <c r="H2" s="20"/>
      <c r="I2" s="18" t="s">
        <v>66</v>
      </c>
    </row>
    <row r="3" ht="22.5" customHeight="1">
      <c r="A3" s="15" t="s">
        <v>67</v>
      </c>
      <c r="B3" s="16"/>
      <c r="C3" s="17" t="s">
        <v>68</v>
      </c>
      <c r="D3" s="18" t="b">
        <v>0</v>
      </c>
      <c r="E3" s="19">
        <v>45999.71414351852</v>
      </c>
      <c r="F3" s="18">
        <v>0.642</v>
      </c>
      <c r="G3" s="18" t="s">
        <v>69</v>
      </c>
      <c r="H3" s="20"/>
      <c r="I3" s="18" t="s">
        <v>66</v>
      </c>
    </row>
    <row r="4" ht="22.5" customHeight="1">
      <c r="A4" s="15" t="s">
        <v>67</v>
      </c>
      <c r="B4" s="16"/>
      <c r="C4" s="17" t="s">
        <v>68</v>
      </c>
      <c r="D4" s="18" t="b">
        <v>0</v>
      </c>
      <c r="E4" s="19">
        <v>45999.583761574075</v>
      </c>
      <c r="F4" s="18">
        <v>1.054</v>
      </c>
      <c r="G4" s="18" t="s">
        <v>69</v>
      </c>
      <c r="H4" s="20"/>
      <c r="I4" s="18" t="s">
        <v>66</v>
      </c>
    </row>
    <row r="5" ht="22.5" customHeight="1">
      <c r="A5" s="15" t="s">
        <v>67</v>
      </c>
      <c r="B5" s="16"/>
      <c r="C5" s="17" t="s">
        <v>68</v>
      </c>
      <c r="D5" s="18" t="b">
        <v>0</v>
      </c>
      <c r="E5" s="19">
        <v>45999.390601851854</v>
      </c>
      <c r="F5" s="18">
        <v>1.24</v>
      </c>
      <c r="G5" s="18" t="s">
        <v>69</v>
      </c>
      <c r="H5" s="20"/>
      <c r="I5" s="18" t="s">
        <v>66</v>
      </c>
    </row>
    <row r="6" ht="22.5" customHeight="1">
      <c r="A6" s="15" t="s">
        <v>67</v>
      </c>
      <c r="B6" s="16"/>
      <c r="C6" s="17" t="s">
        <v>68</v>
      </c>
      <c r="D6" s="18" t="b">
        <v>0</v>
      </c>
      <c r="E6" s="19">
        <v>45998.48310185185</v>
      </c>
      <c r="F6" s="18">
        <v>0.622</v>
      </c>
      <c r="G6" s="18" t="s">
        <v>69</v>
      </c>
      <c r="H6" s="20"/>
      <c r="I6" s="18" t="s">
        <v>66</v>
      </c>
    </row>
    <row r="7" ht="22.5" customHeight="1">
      <c r="A7" s="15" t="s">
        <v>67</v>
      </c>
      <c r="B7" s="16"/>
      <c r="C7" s="17" t="s">
        <v>68</v>
      </c>
      <c r="D7" s="18" t="b">
        <v>0</v>
      </c>
      <c r="E7" s="19">
        <v>45997.45972222222</v>
      </c>
      <c r="F7" s="18">
        <v>0.864</v>
      </c>
      <c r="G7" s="18" t="s">
        <v>69</v>
      </c>
      <c r="H7" s="20"/>
      <c r="I7" s="18" t="s">
        <v>66</v>
      </c>
    </row>
    <row r="8" ht="22.5" customHeight="1">
      <c r="A8" s="15" t="s">
        <v>67</v>
      </c>
      <c r="B8" s="16"/>
      <c r="C8" s="17" t="s">
        <v>68</v>
      </c>
      <c r="D8" s="18" t="b">
        <v>0</v>
      </c>
      <c r="E8" s="19">
        <v>45997.04604166667</v>
      </c>
      <c r="F8" s="18">
        <v>0.418</v>
      </c>
      <c r="G8" s="18" t="s">
        <v>69</v>
      </c>
      <c r="H8" s="20"/>
      <c r="I8" s="18" t="s">
        <v>66</v>
      </c>
    </row>
    <row r="9" ht="22.5" customHeight="1">
      <c r="A9" s="15" t="s">
        <v>67</v>
      </c>
      <c r="B9" s="16"/>
      <c r="C9" s="17" t="s">
        <v>70</v>
      </c>
      <c r="D9" s="18" t="b">
        <v>0</v>
      </c>
      <c r="E9" s="19">
        <v>45997.02979166667</v>
      </c>
      <c r="F9" s="18">
        <v>2.712</v>
      </c>
      <c r="G9" s="18" t="s">
        <v>69</v>
      </c>
      <c r="H9" s="20"/>
      <c r="I9" s="18" t="s">
        <v>66</v>
      </c>
    </row>
    <row r="10" ht="22.5" customHeight="1">
      <c r="A10" s="15" t="s">
        <v>67</v>
      </c>
      <c r="B10" s="16"/>
      <c r="C10" s="17" t="s">
        <v>68</v>
      </c>
      <c r="D10" s="18" t="b">
        <v>0</v>
      </c>
      <c r="E10" s="19">
        <v>45997.02475694445</v>
      </c>
      <c r="F10" s="18">
        <v>2.803</v>
      </c>
      <c r="G10" s="18" t="s">
        <v>69</v>
      </c>
      <c r="H10" s="20"/>
      <c r="I10" s="18" t="s">
        <v>66</v>
      </c>
    </row>
    <row r="11" ht="22.5" customHeight="1">
      <c r="A11" s="15" t="s">
        <v>67</v>
      </c>
      <c r="B11" s="16"/>
      <c r="C11" s="17" t="s">
        <v>71</v>
      </c>
      <c r="D11" s="18" t="b">
        <v>0</v>
      </c>
      <c r="E11" s="19">
        <v>45996.84123842593</v>
      </c>
      <c r="F11" s="18">
        <v>1.232</v>
      </c>
      <c r="G11" s="18" t="s">
        <v>69</v>
      </c>
      <c r="H11" s="20"/>
      <c r="I11" s="18" t="s">
        <v>66</v>
      </c>
    </row>
    <row r="12" ht="22.5" customHeight="1">
      <c r="A12" s="21" t="s">
        <v>72</v>
      </c>
      <c r="B12" s="22" t="s">
        <v>73</v>
      </c>
      <c r="C12" s="23" t="s">
        <v>71</v>
      </c>
      <c r="D12" s="24"/>
      <c r="E12" s="25">
        <v>45996.841215277775</v>
      </c>
      <c r="F12" s="22">
        <v>0.0</v>
      </c>
      <c r="G12" s="22" t="s">
        <v>69</v>
      </c>
      <c r="H12" s="20"/>
      <c r="I12" s="22" t="s">
        <v>66</v>
      </c>
    </row>
    <row r="13" ht="22.5" customHeight="1">
      <c r="A13" s="15" t="s">
        <v>74</v>
      </c>
      <c r="B13" s="18" t="s">
        <v>75</v>
      </c>
      <c r="C13" s="17" t="s">
        <v>71</v>
      </c>
      <c r="D13" s="18" t="b">
        <v>0</v>
      </c>
      <c r="E13" s="19">
        <v>45996.841203703705</v>
      </c>
      <c r="F13" s="18">
        <v>2.21</v>
      </c>
      <c r="G13" s="18" t="s">
        <v>69</v>
      </c>
      <c r="H13" s="20"/>
      <c r="I13" s="18" t="s">
        <v>66</v>
      </c>
    </row>
    <row r="14" ht="22.5" customHeight="1">
      <c r="A14" s="15" t="s">
        <v>74</v>
      </c>
      <c r="B14" s="18" t="s">
        <v>76</v>
      </c>
      <c r="C14" s="17" t="s">
        <v>71</v>
      </c>
      <c r="D14" s="18" t="b">
        <v>0</v>
      </c>
      <c r="E14" s="19">
        <v>45996.84119212963</v>
      </c>
      <c r="F14" s="18">
        <v>0.506</v>
      </c>
      <c r="G14" s="18" t="s">
        <v>69</v>
      </c>
      <c r="H14" s="20"/>
      <c r="I14" s="18" t="s">
        <v>66</v>
      </c>
    </row>
    <row r="15" ht="22.5" customHeight="1">
      <c r="A15" s="15" t="s">
        <v>74</v>
      </c>
      <c r="B15" s="18" t="s">
        <v>76</v>
      </c>
      <c r="C15" s="17" t="s">
        <v>71</v>
      </c>
      <c r="D15" s="18" t="b">
        <v>0</v>
      </c>
      <c r="E15" s="19">
        <v>45996.841157407405</v>
      </c>
      <c r="F15" s="18">
        <v>2.021</v>
      </c>
      <c r="G15" s="18" t="s">
        <v>69</v>
      </c>
      <c r="H15" s="20"/>
      <c r="I15" s="18" t="s">
        <v>66</v>
      </c>
    </row>
    <row r="16" ht="22.5" customHeight="1">
      <c r="A16" s="15" t="s">
        <v>67</v>
      </c>
      <c r="B16" s="16"/>
      <c r="C16" s="17" t="s">
        <v>71</v>
      </c>
      <c r="D16" s="18" t="b">
        <v>0</v>
      </c>
      <c r="E16" s="19">
        <v>45996.83678240741</v>
      </c>
      <c r="F16" s="18">
        <v>62.349</v>
      </c>
      <c r="G16" s="18" t="s">
        <v>69</v>
      </c>
      <c r="H16" s="20"/>
      <c r="I16" s="18" t="s">
        <v>66</v>
      </c>
    </row>
    <row r="17" ht="22.5" customHeight="1">
      <c r="A17" s="15" t="s">
        <v>67</v>
      </c>
      <c r="B17" s="16"/>
      <c r="C17" s="17" t="s">
        <v>68</v>
      </c>
      <c r="D17" s="18" t="b">
        <v>0</v>
      </c>
      <c r="E17" s="19">
        <v>45996.81964120371</v>
      </c>
      <c r="F17" s="18">
        <v>0.459</v>
      </c>
      <c r="G17" s="18" t="s">
        <v>69</v>
      </c>
      <c r="H17" s="20"/>
      <c r="I17" s="18" t="s">
        <v>66</v>
      </c>
    </row>
    <row r="18" ht="22.5" customHeight="1">
      <c r="A18" s="15" t="s">
        <v>67</v>
      </c>
      <c r="B18" s="16"/>
      <c r="C18" s="17" t="s">
        <v>68</v>
      </c>
      <c r="D18" s="18" t="b">
        <v>0</v>
      </c>
      <c r="E18" s="19">
        <v>45996.798125</v>
      </c>
      <c r="F18" s="18">
        <v>0.383</v>
      </c>
      <c r="G18" s="18" t="s">
        <v>69</v>
      </c>
      <c r="H18" s="20"/>
      <c r="I18" s="18" t="s">
        <v>66</v>
      </c>
    </row>
    <row r="19" ht="22.5" customHeight="1">
      <c r="A19" s="15" t="s">
        <v>67</v>
      </c>
      <c r="B19" s="16"/>
      <c r="C19" s="17" t="s">
        <v>68</v>
      </c>
      <c r="D19" s="18" t="b">
        <v>0</v>
      </c>
      <c r="E19" s="19">
        <v>45996.798125</v>
      </c>
      <c r="F19" s="18">
        <v>0.4</v>
      </c>
      <c r="G19" s="18" t="s">
        <v>69</v>
      </c>
      <c r="H19" s="20"/>
      <c r="I19" s="18" t="s">
        <v>66</v>
      </c>
    </row>
    <row r="20" ht="22.5" customHeight="1">
      <c r="A20" s="15" t="s">
        <v>67</v>
      </c>
      <c r="B20" s="16"/>
      <c r="C20" s="17" t="s">
        <v>68</v>
      </c>
      <c r="D20" s="18" t="b">
        <v>0</v>
      </c>
      <c r="E20" s="19">
        <v>45996.77658564815</v>
      </c>
      <c r="F20" s="18">
        <v>0.447</v>
      </c>
      <c r="G20" s="18" t="s">
        <v>69</v>
      </c>
      <c r="H20" s="20"/>
      <c r="I20" s="18" t="s">
        <v>66</v>
      </c>
    </row>
    <row r="21" ht="22.5" customHeight="1">
      <c r="A21" s="15" t="s">
        <v>67</v>
      </c>
      <c r="B21" s="16"/>
      <c r="C21" s="17" t="s">
        <v>68</v>
      </c>
      <c r="D21" s="18" t="b">
        <v>0</v>
      </c>
      <c r="E21" s="19">
        <v>45996.77658564815</v>
      </c>
      <c r="F21" s="18">
        <v>0.411</v>
      </c>
      <c r="G21" s="18" t="s">
        <v>69</v>
      </c>
      <c r="H21" s="20"/>
      <c r="I21" s="18" t="s">
        <v>66</v>
      </c>
    </row>
    <row r="22" ht="22.5" customHeight="1">
      <c r="A22" s="15" t="s">
        <v>67</v>
      </c>
      <c r="B22" s="16"/>
      <c r="C22" s="17" t="s">
        <v>68</v>
      </c>
      <c r="D22" s="18" t="b">
        <v>0</v>
      </c>
      <c r="E22" s="19">
        <v>45996.75508101852</v>
      </c>
      <c r="F22" s="18">
        <v>0.4</v>
      </c>
      <c r="G22" s="18" t="s">
        <v>69</v>
      </c>
      <c r="H22" s="20"/>
      <c r="I22" s="18" t="s">
        <v>66</v>
      </c>
    </row>
    <row r="23" ht="22.5" customHeight="1">
      <c r="A23" s="15" t="s">
        <v>67</v>
      </c>
      <c r="B23" s="16"/>
      <c r="C23" s="17" t="s">
        <v>68</v>
      </c>
      <c r="D23" s="18" t="b">
        <v>0</v>
      </c>
      <c r="E23" s="19">
        <v>45996.75508101852</v>
      </c>
      <c r="F23" s="18">
        <v>0.339</v>
      </c>
      <c r="G23" s="18" t="s">
        <v>69</v>
      </c>
      <c r="H23" s="20"/>
      <c r="I23" s="18" t="s">
        <v>66</v>
      </c>
    </row>
    <row r="24" ht="22.5" customHeight="1">
      <c r="A24" s="15" t="s">
        <v>67</v>
      </c>
      <c r="B24" s="16"/>
      <c r="C24" s="17" t="s">
        <v>68</v>
      </c>
      <c r="D24" s="18" t="b">
        <v>0</v>
      </c>
      <c r="E24" s="19">
        <v>45996.73399305555</v>
      </c>
      <c r="F24" s="18">
        <v>0.418</v>
      </c>
      <c r="G24" s="18" t="s">
        <v>69</v>
      </c>
      <c r="H24" s="20"/>
      <c r="I24" s="18" t="s">
        <v>66</v>
      </c>
    </row>
    <row r="25" ht="22.5" customHeight="1">
      <c r="A25" s="15" t="s">
        <v>67</v>
      </c>
      <c r="B25" s="16"/>
      <c r="C25" s="17" t="s">
        <v>68</v>
      </c>
      <c r="D25" s="18" t="b">
        <v>0</v>
      </c>
      <c r="E25" s="19">
        <v>45996.73396990741</v>
      </c>
      <c r="F25" s="18">
        <v>0.544</v>
      </c>
      <c r="G25" s="18" t="s">
        <v>69</v>
      </c>
      <c r="H25" s="20"/>
      <c r="I25" s="18" t="s">
        <v>66</v>
      </c>
    </row>
    <row r="26" ht="22.5" customHeight="1">
      <c r="A26" s="15" t="s">
        <v>67</v>
      </c>
      <c r="B26" s="16"/>
      <c r="C26" s="17" t="s">
        <v>68</v>
      </c>
      <c r="D26" s="18" t="b">
        <v>0</v>
      </c>
      <c r="E26" s="19">
        <v>45996.73334490741</v>
      </c>
      <c r="F26" s="18">
        <v>2.585</v>
      </c>
      <c r="G26" s="18" t="s">
        <v>69</v>
      </c>
      <c r="H26" s="20"/>
      <c r="I26" s="18" t="s">
        <v>66</v>
      </c>
    </row>
    <row r="27" ht="22.5" customHeight="1">
      <c r="A27" s="15" t="s">
        <v>67</v>
      </c>
      <c r="B27" s="16"/>
      <c r="C27" s="17" t="s">
        <v>77</v>
      </c>
      <c r="D27" s="18" t="b">
        <v>0</v>
      </c>
      <c r="E27" s="19">
        <v>45996.73328703704</v>
      </c>
      <c r="F27" s="18">
        <v>0.444</v>
      </c>
      <c r="G27" s="18" t="s">
        <v>69</v>
      </c>
      <c r="H27" s="20"/>
      <c r="I27" s="18" t="s">
        <v>66</v>
      </c>
    </row>
    <row r="28" ht="22.5" customHeight="1">
      <c r="A28" s="15" t="s">
        <v>67</v>
      </c>
      <c r="B28" s="16"/>
      <c r="C28" s="17" t="s">
        <v>78</v>
      </c>
      <c r="D28" s="18" t="b">
        <v>0</v>
      </c>
      <c r="E28" s="19">
        <v>45995.89361111111</v>
      </c>
      <c r="F28" s="18">
        <v>0.552</v>
      </c>
      <c r="G28" s="18" t="s">
        <v>69</v>
      </c>
      <c r="H28" s="20"/>
      <c r="I28" s="18" t="s">
        <v>66</v>
      </c>
    </row>
    <row r="29" ht="22.5" customHeight="1">
      <c r="A29" s="15" t="s">
        <v>67</v>
      </c>
      <c r="B29" s="16"/>
      <c r="C29" s="17" t="s">
        <v>78</v>
      </c>
      <c r="D29" s="18" t="b">
        <v>0</v>
      </c>
      <c r="E29" s="19">
        <v>45995.872465277775</v>
      </c>
      <c r="F29" s="18">
        <v>1.896</v>
      </c>
      <c r="G29" s="18" t="s">
        <v>69</v>
      </c>
      <c r="H29" s="20"/>
      <c r="I29" s="18" t="s">
        <v>66</v>
      </c>
    </row>
    <row r="30" ht="22.5" customHeight="1">
      <c r="A30" s="15" t="s">
        <v>67</v>
      </c>
      <c r="B30" s="16"/>
      <c r="C30" s="17" t="s">
        <v>71</v>
      </c>
      <c r="D30" s="18" t="b">
        <v>0</v>
      </c>
      <c r="E30" s="26">
        <v>45989.852476851855</v>
      </c>
      <c r="F30" s="18">
        <v>1.405</v>
      </c>
      <c r="G30" s="18" t="s">
        <v>69</v>
      </c>
      <c r="H30" s="20"/>
      <c r="I30" s="18" t="s">
        <v>66</v>
      </c>
    </row>
    <row r="31" ht="22.5" customHeight="1">
      <c r="A31" s="21" t="s">
        <v>72</v>
      </c>
      <c r="B31" s="22" t="s">
        <v>73</v>
      </c>
      <c r="C31" s="23" t="s">
        <v>71</v>
      </c>
      <c r="D31" s="24"/>
      <c r="E31" s="27">
        <v>45989.8524537037</v>
      </c>
      <c r="F31" s="22">
        <v>0.0</v>
      </c>
      <c r="G31" s="22" t="s">
        <v>69</v>
      </c>
      <c r="H31" s="20"/>
      <c r="I31" s="22" t="s">
        <v>66</v>
      </c>
    </row>
    <row r="32" ht="22.5" customHeight="1">
      <c r="A32" s="15" t="s">
        <v>74</v>
      </c>
      <c r="B32" s="18" t="s">
        <v>75</v>
      </c>
      <c r="C32" s="17" t="s">
        <v>71</v>
      </c>
      <c r="D32" s="18" t="b">
        <v>0</v>
      </c>
      <c r="E32" s="26">
        <v>45989.85244212963</v>
      </c>
      <c r="F32" s="18">
        <v>2.228</v>
      </c>
      <c r="G32" s="18" t="s">
        <v>69</v>
      </c>
      <c r="H32" s="20"/>
      <c r="I32" s="18" t="s">
        <v>66</v>
      </c>
    </row>
    <row r="33" ht="22.5" customHeight="1">
      <c r="A33" s="15" t="s">
        <v>74</v>
      </c>
      <c r="B33" s="18" t="s">
        <v>76</v>
      </c>
      <c r="C33" s="17" t="s">
        <v>71</v>
      </c>
      <c r="D33" s="18" t="b">
        <v>0</v>
      </c>
      <c r="E33" s="26">
        <v>45989.85241898148</v>
      </c>
      <c r="F33" s="18">
        <v>0.933</v>
      </c>
      <c r="G33" s="18" t="s">
        <v>69</v>
      </c>
      <c r="H33" s="20"/>
      <c r="I33" s="18" t="s">
        <v>66</v>
      </c>
    </row>
    <row r="34" ht="22.5" customHeight="1">
      <c r="A34" s="15" t="s">
        <v>74</v>
      </c>
      <c r="B34" s="18" t="s">
        <v>76</v>
      </c>
      <c r="C34" s="17" t="s">
        <v>71</v>
      </c>
      <c r="D34" s="18" t="b">
        <v>0</v>
      </c>
      <c r="E34" s="26">
        <v>45989.85240740741</v>
      </c>
      <c r="F34" s="18">
        <v>0.774</v>
      </c>
      <c r="G34" s="18" t="s">
        <v>69</v>
      </c>
      <c r="H34" s="20"/>
      <c r="I34" s="18" t="s">
        <v>66</v>
      </c>
    </row>
    <row r="35" ht="22.5" customHeight="1">
      <c r="A35" s="15" t="s">
        <v>67</v>
      </c>
      <c r="B35" s="16"/>
      <c r="C35" s="17" t="s">
        <v>71</v>
      </c>
      <c r="D35" s="18" t="b">
        <v>0</v>
      </c>
      <c r="E35" s="26">
        <v>45989.850486111114</v>
      </c>
      <c r="F35" s="18">
        <v>2.704</v>
      </c>
      <c r="G35" s="18" t="s">
        <v>69</v>
      </c>
      <c r="H35" s="20"/>
      <c r="I35" s="18" t="s">
        <v>66</v>
      </c>
    </row>
    <row r="36" ht="22.5" customHeight="1">
      <c r="A36" s="15" t="s">
        <v>67</v>
      </c>
      <c r="B36" s="16"/>
      <c r="C36" s="17" t="s">
        <v>79</v>
      </c>
      <c r="D36" s="18" t="b">
        <v>0</v>
      </c>
      <c r="E36" s="26">
        <v>45986.99449074074</v>
      </c>
      <c r="F36" s="18">
        <v>1.237</v>
      </c>
      <c r="G36" s="18" t="s">
        <v>69</v>
      </c>
      <c r="H36" s="20"/>
      <c r="I36" s="18" t="s">
        <v>66</v>
      </c>
    </row>
    <row r="37" ht="22.5" customHeight="1">
      <c r="A37" s="15" t="s">
        <v>67</v>
      </c>
      <c r="B37" s="16"/>
      <c r="C37" s="17" t="s">
        <v>79</v>
      </c>
      <c r="D37" s="18" t="b">
        <v>0</v>
      </c>
      <c r="E37" s="26">
        <v>45986.96579861111</v>
      </c>
      <c r="F37" s="18">
        <v>3.007</v>
      </c>
      <c r="G37" s="18" t="s">
        <v>69</v>
      </c>
      <c r="H37" s="20"/>
      <c r="I37" s="18" t="s">
        <v>66</v>
      </c>
    </row>
    <row r="38" ht="22.5" customHeight="1">
      <c r="A38" s="15" t="s">
        <v>67</v>
      </c>
      <c r="B38" s="16"/>
      <c r="C38" s="17" t="s">
        <v>78</v>
      </c>
      <c r="D38" s="18" t="b">
        <v>0</v>
      </c>
      <c r="E38" s="26">
        <v>45986.83967592593</v>
      </c>
      <c r="F38" s="18">
        <v>0.368</v>
      </c>
      <c r="G38" s="18" t="s">
        <v>69</v>
      </c>
      <c r="H38" s="20"/>
      <c r="I38" s="18" t="s">
        <v>66</v>
      </c>
    </row>
    <row r="39" ht="22.5" customHeight="1">
      <c r="A39" s="15" t="s">
        <v>67</v>
      </c>
      <c r="B39" s="16"/>
      <c r="C39" s="17" t="s">
        <v>78</v>
      </c>
      <c r="D39" s="18" t="b">
        <v>0</v>
      </c>
      <c r="E39" s="26">
        <v>45986.81875</v>
      </c>
      <c r="F39" s="18">
        <v>2.364</v>
      </c>
      <c r="G39" s="18" t="s">
        <v>69</v>
      </c>
      <c r="H39" s="20"/>
      <c r="I39" s="18" t="s">
        <v>66</v>
      </c>
    </row>
    <row r="40" ht="22.5" customHeight="1">
      <c r="A40" s="15" t="s">
        <v>67</v>
      </c>
      <c r="B40" s="16"/>
      <c r="C40" s="17" t="s">
        <v>77</v>
      </c>
      <c r="D40" s="18" t="b">
        <v>0</v>
      </c>
      <c r="E40" s="26">
        <v>45982.75859953704</v>
      </c>
      <c r="F40" s="18">
        <v>0.42</v>
      </c>
      <c r="G40" s="18" t="s">
        <v>69</v>
      </c>
      <c r="H40" s="20"/>
      <c r="I40" s="18" t="s">
        <v>66</v>
      </c>
    </row>
    <row r="41" ht="22.5" customHeight="1">
      <c r="A41" s="15" t="s">
        <v>67</v>
      </c>
      <c r="B41" s="16"/>
      <c r="C41" s="17" t="s">
        <v>78</v>
      </c>
      <c r="D41" s="18" t="b">
        <v>0</v>
      </c>
      <c r="E41" s="19">
        <v>45970.270532407405</v>
      </c>
      <c r="F41" s="18">
        <v>0.643</v>
      </c>
      <c r="G41" s="18" t="s">
        <v>69</v>
      </c>
      <c r="H41" s="20"/>
      <c r="I41" s="18" t="s">
        <v>66</v>
      </c>
    </row>
    <row r="42" ht="22.5" customHeight="1">
      <c r="A42" s="15" t="s">
        <v>67</v>
      </c>
      <c r="B42" s="16"/>
      <c r="C42" s="17" t="s">
        <v>78</v>
      </c>
      <c r="D42" s="18" t="b">
        <v>0</v>
      </c>
      <c r="E42" s="19">
        <v>45970.24961805555</v>
      </c>
      <c r="F42" s="18">
        <v>1.939</v>
      </c>
      <c r="G42" s="18" t="s">
        <v>69</v>
      </c>
      <c r="H42" s="20"/>
      <c r="I42" s="18" t="s">
        <v>66</v>
      </c>
    </row>
    <row r="43" ht="22.5" customHeight="1">
      <c r="A43" s="15" t="s">
        <v>67</v>
      </c>
      <c r="B43" s="16"/>
      <c r="C43" s="17" t="s">
        <v>80</v>
      </c>
      <c r="D43" s="18" t="b">
        <v>0</v>
      </c>
      <c r="E43" s="19">
        <v>45967.79096064815</v>
      </c>
      <c r="F43" s="18">
        <v>0.347</v>
      </c>
      <c r="G43" s="18" t="s">
        <v>69</v>
      </c>
      <c r="H43" s="20"/>
      <c r="I43" s="18" t="s">
        <v>66</v>
      </c>
    </row>
    <row r="44" ht="22.5" customHeight="1">
      <c r="A44" s="15" t="s">
        <v>67</v>
      </c>
      <c r="B44" s="16"/>
      <c r="C44" s="17" t="s">
        <v>80</v>
      </c>
      <c r="D44" s="18" t="b">
        <v>0</v>
      </c>
      <c r="E44" s="19">
        <v>45967.79</v>
      </c>
      <c r="F44" s="18">
        <v>2.068</v>
      </c>
      <c r="G44" s="18" t="s">
        <v>69</v>
      </c>
      <c r="H44" s="20"/>
      <c r="I44" s="18" t="s">
        <v>66</v>
      </c>
    </row>
    <row r="45" ht="22.5" customHeight="1">
      <c r="A45" s="15" t="s">
        <v>67</v>
      </c>
      <c r="B45" s="16"/>
      <c r="C45" s="17" t="s">
        <v>77</v>
      </c>
      <c r="D45" s="18" t="b">
        <v>0</v>
      </c>
      <c r="E45" s="19">
        <v>45967.78986111111</v>
      </c>
      <c r="F45" s="18">
        <v>0.335</v>
      </c>
      <c r="G45" s="18" t="s">
        <v>69</v>
      </c>
      <c r="H45" s="20"/>
      <c r="I45" s="18" t="s">
        <v>66</v>
      </c>
    </row>
    <row r="46" ht="22.5" customHeight="1">
      <c r="A46" s="15" t="s">
        <v>67</v>
      </c>
      <c r="B46" s="16"/>
      <c r="C46" s="17" t="s">
        <v>79</v>
      </c>
      <c r="D46" s="18" t="b">
        <v>0</v>
      </c>
      <c r="E46" s="19">
        <v>45964.92222222222</v>
      </c>
      <c r="F46" s="18">
        <v>0.405</v>
      </c>
      <c r="G46" s="18" t="s">
        <v>69</v>
      </c>
      <c r="H46" s="20"/>
      <c r="I46" s="18" t="s">
        <v>66</v>
      </c>
    </row>
    <row r="47" ht="22.5" customHeight="1">
      <c r="A47" s="15" t="s">
        <v>67</v>
      </c>
      <c r="B47" s="16"/>
      <c r="C47" s="17" t="s">
        <v>79</v>
      </c>
      <c r="D47" s="18" t="b">
        <v>0</v>
      </c>
      <c r="E47" s="19">
        <v>45964.901342592595</v>
      </c>
      <c r="F47" s="18">
        <v>0.384</v>
      </c>
      <c r="G47" s="18" t="s">
        <v>69</v>
      </c>
      <c r="H47" s="20"/>
      <c r="I47" s="18" t="s">
        <v>66</v>
      </c>
    </row>
    <row r="48" ht="22.5" customHeight="1">
      <c r="A48" s="15" t="s">
        <v>67</v>
      </c>
      <c r="B48" s="16"/>
      <c r="C48" s="17" t="s">
        <v>79</v>
      </c>
      <c r="D48" s="18" t="b">
        <v>0</v>
      </c>
      <c r="E48" s="19">
        <v>45964.87771990741</v>
      </c>
      <c r="F48" s="18">
        <v>0.594</v>
      </c>
      <c r="G48" s="18" t="s">
        <v>69</v>
      </c>
      <c r="H48" s="20"/>
      <c r="I48" s="18" t="s">
        <v>66</v>
      </c>
    </row>
    <row r="49" ht="22.5" customHeight="1">
      <c r="A49" s="15" t="s">
        <v>67</v>
      </c>
      <c r="B49" s="16"/>
      <c r="C49" s="17" t="s">
        <v>79</v>
      </c>
      <c r="D49" s="18" t="b">
        <v>0</v>
      </c>
      <c r="E49" s="19">
        <v>45964.83146990741</v>
      </c>
      <c r="F49" s="18">
        <v>0.367</v>
      </c>
      <c r="G49" s="18" t="s">
        <v>69</v>
      </c>
      <c r="H49" s="20"/>
      <c r="I49" s="18" t="s">
        <v>66</v>
      </c>
    </row>
    <row r="50" ht="22.5" customHeight="1">
      <c r="A50" s="15" t="s">
        <v>67</v>
      </c>
      <c r="B50" s="16"/>
      <c r="C50" s="17" t="s">
        <v>79</v>
      </c>
      <c r="D50" s="18" t="b">
        <v>0</v>
      </c>
      <c r="E50" s="19">
        <v>45964.813368055555</v>
      </c>
      <c r="F50" s="18">
        <v>0.79</v>
      </c>
      <c r="G50" s="18" t="s">
        <v>69</v>
      </c>
      <c r="H50" s="20"/>
      <c r="I50" s="18" t="s">
        <v>66</v>
      </c>
    </row>
    <row r="51" ht="22.5" customHeight="1">
      <c r="A51" s="15" t="s">
        <v>67</v>
      </c>
      <c r="B51" s="16"/>
      <c r="C51" s="17" t="s">
        <v>79</v>
      </c>
      <c r="D51" s="18" t="b">
        <v>0</v>
      </c>
      <c r="E51" s="19">
        <v>45964.80994212963</v>
      </c>
      <c r="F51" s="18">
        <v>1.951</v>
      </c>
      <c r="G51" s="18" t="s">
        <v>69</v>
      </c>
      <c r="H51" s="20"/>
      <c r="I51" s="18" t="s">
        <v>66</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s>
  <drawing r:id="rId51"/>
  <tableParts count="1">
    <tablePart r:id="rId5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81</v>
      </c>
      <c r="B1" s="28" t="s">
        <v>82</v>
      </c>
      <c r="C1" s="28" t="s">
        <v>83</v>
      </c>
    </row>
    <row r="2">
      <c r="A2" s="28" t="s">
        <v>84</v>
      </c>
      <c r="B2" s="28" t="s">
        <v>85</v>
      </c>
      <c r="C2" s="29" t="s">
        <v>86</v>
      </c>
    </row>
  </sheetData>
  <hyperlinks>
    <hyperlink r:id="rId1" ref="C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87</v>
      </c>
      <c r="B1" s="30" t="s">
        <v>88</v>
      </c>
      <c r="C1" s="30" t="s">
        <v>89</v>
      </c>
      <c r="D1" s="30" t="s">
        <v>90</v>
      </c>
      <c r="E1" s="30" t="s">
        <v>91</v>
      </c>
      <c r="F1" s="30" t="s">
        <v>92</v>
      </c>
      <c r="G1" s="28" t="s">
        <v>93</v>
      </c>
      <c r="H1" s="28" t="s">
        <v>94</v>
      </c>
      <c r="I1" s="28" t="s">
        <v>95</v>
      </c>
      <c r="J1" s="28" t="s">
        <v>96</v>
      </c>
      <c r="K1" s="30" t="s">
        <v>97</v>
      </c>
      <c r="L1" s="30" t="s">
        <v>98</v>
      </c>
      <c r="M1" s="28" t="s">
        <v>99</v>
      </c>
      <c r="N1" s="28" t="s">
        <v>100</v>
      </c>
      <c r="O1" s="28" t="s">
        <v>101</v>
      </c>
      <c r="P1" s="28" t="s">
        <v>102</v>
      </c>
      <c r="Q1" s="30" t="s">
        <v>103</v>
      </c>
      <c r="R1" s="30" t="s">
        <v>104</v>
      </c>
      <c r="S1" s="28" t="s">
        <v>105</v>
      </c>
      <c r="T1" s="28" t="s">
        <v>106</v>
      </c>
      <c r="U1" s="28" t="s">
        <v>107</v>
      </c>
      <c r="V1" s="30" t="s">
        <v>108</v>
      </c>
      <c r="W1" s="30" t="s">
        <v>109</v>
      </c>
      <c r="X1" s="28" t="s">
        <v>110</v>
      </c>
      <c r="Y1" s="28" t="s">
        <v>111</v>
      </c>
      <c r="Z1" s="28" t="s">
        <v>112</v>
      </c>
      <c r="AA1" s="30" t="s">
        <v>113</v>
      </c>
      <c r="AB1" s="30" t="s">
        <v>114</v>
      </c>
      <c r="AC1" s="28" t="s">
        <v>115</v>
      </c>
      <c r="AD1" s="28" t="s">
        <v>116</v>
      </c>
      <c r="AE1" s="28" t="s">
        <v>117</v>
      </c>
      <c r="AF1" s="28" t="s">
        <v>118</v>
      </c>
    </row>
    <row r="2">
      <c r="A2" s="28"/>
      <c r="B2" s="28"/>
      <c r="C2" s="31"/>
      <c r="D2" s="31"/>
      <c r="G2" s="28"/>
      <c r="H2" s="28"/>
      <c r="I2" s="28"/>
      <c r="J2" s="28"/>
      <c r="M2" s="28"/>
      <c r="N2" s="28"/>
      <c r="O2" s="28"/>
      <c r="P2" s="28"/>
      <c r="S2" s="28"/>
      <c r="T2" s="28"/>
      <c r="U2" s="28"/>
      <c r="X2" s="28"/>
      <c r="Y2" s="28"/>
      <c r="Z2" s="28"/>
      <c r="AC2" s="32"/>
      <c r="AD2" s="32"/>
      <c r="AE2" s="32"/>
      <c r="AF2" s="28"/>
    </row>
    <row r="3">
      <c r="A3" s="28"/>
      <c r="B3" s="28"/>
      <c r="C3" s="31"/>
      <c r="J3" s="28"/>
      <c r="U3" s="2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119</v>
      </c>
      <c r="B1" s="28" t="s">
        <v>120</v>
      </c>
      <c r="C1" s="28" t="s">
        <v>121</v>
      </c>
      <c r="D1" s="28" t="s">
        <v>122</v>
      </c>
    </row>
    <row r="2">
      <c r="A2" s="28" t="s">
        <v>123</v>
      </c>
      <c r="B2" s="28" t="s">
        <v>124</v>
      </c>
      <c r="C2" s="28" t="s">
        <v>125</v>
      </c>
      <c r="D2" s="29" t="s">
        <v>126</v>
      </c>
    </row>
  </sheetData>
  <hyperlinks>
    <hyperlink r:id="rId1" ref="D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127</v>
      </c>
      <c r="B1" s="28" t="s">
        <v>128</v>
      </c>
      <c r="C1" s="28" t="s">
        <v>129</v>
      </c>
      <c r="D1" s="28" t="s">
        <v>130</v>
      </c>
    </row>
    <row r="2">
      <c r="A2" s="28" t="s">
        <v>131</v>
      </c>
      <c r="B2" s="28" t="s">
        <v>132</v>
      </c>
      <c r="C2" s="33" t="s">
        <v>133</v>
      </c>
      <c r="D2" s="29" t="s">
        <v>126</v>
      </c>
    </row>
  </sheetData>
  <hyperlinks>
    <hyperlink r:id="rId1" ref="C2"/>
    <hyperlink r:id="rId2" ref="D2"/>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8.38"/>
    <col customWidth="1" min="8" max="8" width="16.0"/>
    <col customWidth="1" min="9" max="18" width="16.88"/>
  </cols>
  <sheetData>
    <row r="1">
      <c r="A1" s="34" t="s">
        <v>134</v>
      </c>
      <c r="B1" s="34" t="s">
        <v>135</v>
      </c>
      <c r="C1" s="34" t="s">
        <v>136</v>
      </c>
      <c r="D1" s="34" t="s">
        <v>137</v>
      </c>
      <c r="E1" s="30" t="s">
        <v>82</v>
      </c>
      <c r="F1" s="34" t="s">
        <v>76</v>
      </c>
      <c r="G1" s="34" t="s">
        <v>138</v>
      </c>
      <c r="H1" s="34" t="s">
        <v>139</v>
      </c>
      <c r="I1" s="30" t="s">
        <v>140</v>
      </c>
      <c r="J1" s="30" t="s">
        <v>141</v>
      </c>
      <c r="K1" s="30" t="s">
        <v>142</v>
      </c>
      <c r="L1" s="30" t="s">
        <v>143</v>
      </c>
      <c r="M1" s="30" t="s">
        <v>144</v>
      </c>
      <c r="N1" s="34" t="s">
        <v>145</v>
      </c>
      <c r="O1" s="35"/>
      <c r="P1" s="35"/>
      <c r="Q1" s="35"/>
      <c r="R1" s="35"/>
    </row>
    <row r="2">
      <c r="A2" s="28" t="s">
        <v>146</v>
      </c>
      <c r="B2" s="28" t="s">
        <v>147</v>
      </c>
      <c r="C2" s="28" t="s">
        <v>148</v>
      </c>
      <c r="F2" s="28" t="s">
        <v>149</v>
      </c>
      <c r="G2" s="28" t="s">
        <v>150</v>
      </c>
    </row>
    <row r="3">
      <c r="A3" s="28" t="s">
        <v>151</v>
      </c>
      <c r="B3" s="28" t="s">
        <v>152</v>
      </c>
      <c r="C3" s="28" t="s">
        <v>153</v>
      </c>
      <c r="F3" s="28" t="s">
        <v>154</v>
      </c>
      <c r="G3" s="28" t="s">
        <v>155</v>
      </c>
    </row>
    <row r="4">
      <c r="A4" s="36" t="s">
        <v>156</v>
      </c>
      <c r="B4" s="28" t="s">
        <v>157</v>
      </c>
      <c r="C4" s="28" t="s">
        <v>158</v>
      </c>
      <c r="F4" s="28" t="s">
        <v>159</v>
      </c>
    </row>
    <row r="5">
      <c r="A5" s="28" t="s">
        <v>160</v>
      </c>
      <c r="B5" s="28" t="s">
        <v>161</v>
      </c>
      <c r="C5" s="28" t="s">
        <v>162</v>
      </c>
      <c r="F5" s="28" t="s">
        <v>163</v>
      </c>
      <c r="G5" s="28" t="s">
        <v>164</v>
      </c>
    </row>
    <row r="6">
      <c r="A6" s="28" t="s">
        <v>165</v>
      </c>
      <c r="B6" s="28" t="s">
        <v>166</v>
      </c>
    </row>
    <row r="7">
      <c r="A7" s="28" t="s">
        <v>167</v>
      </c>
      <c r="B7" s="28" t="s">
        <v>166</v>
      </c>
      <c r="C7" s="28" t="s">
        <v>168</v>
      </c>
      <c r="F7" s="28" t="s">
        <v>169</v>
      </c>
    </row>
    <row r="8">
      <c r="A8" s="28" t="s">
        <v>170</v>
      </c>
      <c r="B8" s="28" t="s">
        <v>171</v>
      </c>
      <c r="C8" s="28" t="s">
        <v>172</v>
      </c>
      <c r="F8" s="28" t="s">
        <v>173</v>
      </c>
      <c r="G8" s="28" t="s">
        <v>174</v>
      </c>
    </row>
    <row r="9">
      <c r="A9" s="28" t="s">
        <v>175</v>
      </c>
      <c r="B9" s="28" t="s">
        <v>176</v>
      </c>
      <c r="C9" s="28" t="s">
        <v>177</v>
      </c>
      <c r="F9" s="28" t="s">
        <v>178</v>
      </c>
    </row>
    <row r="10">
      <c r="A10" s="28" t="s">
        <v>179</v>
      </c>
      <c r="B10" s="28" t="s">
        <v>180</v>
      </c>
      <c r="C10" s="28" t="s">
        <v>181</v>
      </c>
      <c r="F10" s="28" t="s">
        <v>182</v>
      </c>
      <c r="G10" s="28" t="s">
        <v>182</v>
      </c>
    </row>
    <row r="11">
      <c r="A11" s="28" t="s">
        <v>183</v>
      </c>
      <c r="B11" s="28" t="s">
        <v>184</v>
      </c>
      <c r="C11" s="28" t="s">
        <v>185</v>
      </c>
      <c r="F11" s="28" t="s">
        <v>186</v>
      </c>
    </row>
    <row r="12">
      <c r="A12" s="28" t="s">
        <v>187</v>
      </c>
      <c r="B12" s="28" t="s">
        <v>188</v>
      </c>
      <c r="C12" s="28" t="s">
        <v>189</v>
      </c>
      <c r="F12" s="28" t="s">
        <v>190</v>
      </c>
      <c r="G12" s="28" t="s">
        <v>191</v>
      </c>
    </row>
    <row r="13">
      <c r="A13" s="28" t="s">
        <v>192</v>
      </c>
      <c r="B13" s="28" t="s">
        <v>193</v>
      </c>
    </row>
    <row r="14">
      <c r="A14" s="28" t="s">
        <v>194</v>
      </c>
      <c r="B14" s="28" t="s">
        <v>195</v>
      </c>
      <c r="C14" s="28" t="s">
        <v>196</v>
      </c>
      <c r="F14" s="28" t="s">
        <v>197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198</v>
      </c>
      <c r="B1" s="28" t="s">
        <v>134</v>
      </c>
      <c r="C1" s="28" t="s">
        <v>199</v>
      </c>
    </row>
    <row r="2">
      <c r="A2" s="28" t="s">
        <v>200</v>
      </c>
      <c r="B2" s="37" t="s">
        <v>201</v>
      </c>
      <c r="C2" s="38" t="s">
        <v>202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5" width="16.25"/>
    <col customWidth="1" min="6" max="6" width="21.38"/>
    <col customWidth="1" min="7" max="7" width="17.75"/>
  </cols>
  <sheetData>
    <row r="1">
      <c r="A1" s="28" t="s">
        <v>135</v>
      </c>
      <c r="B1" s="28" t="s">
        <v>203</v>
      </c>
      <c r="C1" s="28" t="s">
        <v>204</v>
      </c>
      <c r="D1" s="28" t="s">
        <v>205</v>
      </c>
      <c r="E1" s="28" t="s">
        <v>206</v>
      </c>
      <c r="F1" s="28" t="s">
        <v>207</v>
      </c>
      <c r="G1" s="28" t="s">
        <v>208</v>
      </c>
      <c r="H1" s="28" t="s">
        <v>209</v>
      </c>
    </row>
    <row r="2">
      <c r="A2" s="28" t="s">
        <v>210</v>
      </c>
      <c r="B2" s="39">
        <v>45813.40321759259</v>
      </c>
      <c r="C2" s="28" t="s">
        <v>211</v>
      </c>
      <c r="D2" s="28" t="s">
        <v>212</v>
      </c>
      <c r="F2" s="28" t="s">
        <v>213</v>
      </c>
      <c r="G2" s="28" t="s">
        <v>214</v>
      </c>
      <c r="H2" s="28" t="s">
        <v>215</v>
      </c>
    </row>
    <row r="3">
      <c r="A3" s="28" t="s">
        <v>147</v>
      </c>
      <c r="B3" s="39">
        <v>45813.4062037037</v>
      </c>
      <c r="C3" s="28" t="s">
        <v>216</v>
      </c>
      <c r="D3" s="28" t="s">
        <v>217</v>
      </c>
      <c r="E3" s="28" t="s">
        <v>150</v>
      </c>
      <c r="F3" s="28" t="s">
        <v>149</v>
      </c>
      <c r="G3" s="28" t="s">
        <v>218</v>
      </c>
      <c r="H3" s="28" t="s">
        <v>219</v>
      </c>
    </row>
    <row r="4">
      <c r="A4" s="28" t="s">
        <v>157</v>
      </c>
      <c r="B4" s="39">
        <v>45817.61954861111</v>
      </c>
      <c r="C4" s="28" t="s">
        <v>220</v>
      </c>
      <c r="D4" s="28" t="s">
        <v>212</v>
      </c>
      <c r="F4" s="28" t="s">
        <v>159</v>
      </c>
      <c r="G4" s="28" t="s">
        <v>221</v>
      </c>
      <c r="H4" s="28" t="s">
        <v>219</v>
      </c>
    </row>
    <row r="5">
      <c r="A5" s="28" t="s">
        <v>222</v>
      </c>
      <c r="B5" s="39">
        <v>45824.42533564815</v>
      </c>
      <c r="C5" s="28" t="s">
        <v>211</v>
      </c>
      <c r="D5" s="28" t="s">
        <v>217</v>
      </c>
      <c r="E5" s="28" t="s">
        <v>223</v>
      </c>
      <c r="F5" s="28" t="s">
        <v>224</v>
      </c>
      <c r="G5" s="28" t="s">
        <v>225</v>
      </c>
      <c r="H5" s="28" t="s">
        <v>215</v>
      </c>
    </row>
    <row r="6">
      <c r="A6" s="28" t="s">
        <v>226</v>
      </c>
      <c r="B6" s="39">
        <v>45824.55045138889</v>
      </c>
      <c r="C6" s="28" t="s">
        <v>227</v>
      </c>
      <c r="D6" s="28" t="s">
        <v>212</v>
      </c>
      <c r="F6" s="28" t="s">
        <v>228</v>
      </c>
      <c r="G6" s="28" t="s">
        <v>229</v>
      </c>
      <c r="H6" s="28" t="s">
        <v>215</v>
      </c>
    </row>
    <row r="7">
      <c r="A7" s="28" t="s">
        <v>171</v>
      </c>
      <c r="B7" s="39">
        <v>45831.55956018518</v>
      </c>
      <c r="C7" s="28" t="s">
        <v>216</v>
      </c>
      <c r="D7" s="28" t="s">
        <v>217</v>
      </c>
      <c r="E7" s="28" t="s">
        <v>174</v>
      </c>
      <c r="F7" s="28" t="s">
        <v>173</v>
      </c>
      <c r="G7" s="28" t="s">
        <v>230</v>
      </c>
      <c r="H7" s="28" t="s">
        <v>219</v>
      </c>
    </row>
    <row r="8">
      <c r="A8" s="28" t="s">
        <v>152</v>
      </c>
      <c r="B8" s="39">
        <v>45831.60670138889</v>
      </c>
      <c r="C8" s="28" t="s">
        <v>216</v>
      </c>
      <c r="D8" s="28" t="s">
        <v>217</v>
      </c>
      <c r="E8" s="28" t="s">
        <v>155</v>
      </c>
      <c r="F8" s="28" t="s">
        <v>154</v>
      </c>
      <c r="G8" s="28" t="s">
        <v>231</v>
      </c>
      <c r="H8" s="28" t="s">
        <v>219</v>
      </c>
    </row>
    <row r="9">
      <c r="A9" s="28" t="s">
        <v>161</v>
      </c>
      <c r="B9" s="39">
        <v>45855.50622685185</v>
      </c>
      <c r="C9" s="28" t="s">
        <v>232</v>
      </c>
      <c r="D9" s="28" t="s">
        <v>217</v>
      </c>
      <c r="E9" s="28" t="s">
        <v>164</v>
      </c>
      <c r="F9" s="28" t="s">
        <v>163</v>
      </c>
      <c r="G9" s="28" t="s">
        <v>233</v>
      </c>
      <c r="H9" s="28" t="s">
        <v>219</v>
      </c>
    </row>
    <row r="10">
      <c r="A10" s="28" t="s">
        <v>166</v>
      </c>
      <c r="B10" s="39">
        <v>45889.69013888889</v>
      </c>
      <c r="C10" s="28" t="s">
        <v>234</v>
      </c>
      <c r="D10" s="28" t="s">
        <v>212</v>
      </c>
      <c r="F10" s="28" t="s">
        <v>169</v>
      </c>
      <c r="G10" s="28" t="s">
        <v>235</v>
      </c>
      <c r="H10" s="28" t="s">
        <v>219</v>
      </c>
    </row>
    <row r="11">
      <c r="A11" s="28" t="s">
        <v>236</v>
      </c>
      <c r="B11" s="39">
        <v>45903.45502314815</v>
      </c>
      <c r="C11" s="28" t="s">
        <v>216</v>
      </c>
      <c r="D11" s="28" t="s">
        <v>217</v>
      </c>
      <c r="E11" s="28" t="s">
        <v>237</v>
      </c>
      <c r="F11" s="28" t="s">
        <v>238</v>
      </c>
      <c r="G11" s="28" t="s">
        <v>239</v>
      </c>
      <c r="H11" s="28" t="s">
        <v>240</v>
      </c>
    </row>
    <row r="12">
      <c r="A12" s="28" t="s">
        <v>180</v>
      </c>
      <c r="B12" s="39">
        <v>45908.475856481484</v>
      </c>
      <c r="C12" s="28" t="s">
        <v>211</v>
      </c>
      <c r="D12" s="28" t="s">
        <v>217</v>
      </c>
      <c r="E12" s="28" t="s">
        <v>182</v>
      </c>
      <c r="F12" s="28" t="s">
        <v>182</v>
      </c>
      <c r="G12" s="28" t="s">
        <v>241</v>
      </c>
      <c r="H12" s="28" t="s">
        <v>219</v>
      </c>
    </row>
    <row r="13">
      <c r="A13" s="28" t="s">
        <v>176</v>
      </c>
      <c r="B13" s="39">
        <v>45910.43038194445</v>
      </c>
      <c r="C13" s="28" t="s">
        <v>211</v>
      </c>
      <c r="D13" s="28" t="s">
        <v>212</v>
      </c>
      <c r="F13" s="28" t="s">
        <v>178</v>
      </c>
      <c r="G13" s="28" t="s">
        <v>242</v>
      </c>
      <c r="H13" s="28" t="s">
        <v>219</v>
      </c>
    </row>
    <row r="14">
      <c r="A14" s="28" t="s">
        <v>243</v>
      </c>
      <c r="B14" s="39">
        <v>45910.579201388886</v>
      </c>
      <c r="C14" s="28" t="s">
        <v>244</v>
      </c>
      <c r="D14" s="28" t="s">
        <v>212</v>
      </c>
      <c r="F14" s="28" t="s">
        <v>245</v>
      </c>
      <c r="G14" s="28" t="s">
        <v>246</v>
      </c>
      <c r="H14" s="28" t="s">
        <v>215</v>
      </c>
    </row>
    <row r="15">
      <c r="A15" s="28" t="s">
        <v>247</v>
      </c>
      <c r="B15" s="39">
        <v>45911.413125</v>
      </c>
      <c r="C15" s="28" t="s">
        <v>248</v>
      </c>
      <c r="D15" s="28" t="s">
        <v>212</v>
      </c>
      <c r="F15" s="28" t="s">
        <v>249</v>
      </c>
      <c r="G15" s="28" t="s">
        <v>250</v>
      </c>
      <c r="H15" s="28" t="s">
        <v>215</v>
      </c>
    </row>
    <row r="16">
      <c r="A16" s="28" t="s">
        <v>251</v>
      </c>
      <c r="B16" s="39">
        <v>45917.410474537035</v>
      </c>
      <c r="C16" s="28" t="s">
        <v>248</v>
      </c>
      <c r="D16" s="28" t="s">
        <v>212</v>
      </c>
      <c r="F16" s="28" t="s">
        <v>252</v>
      </c>
      <c r="G16" s="28" t="s">
        <v>253</v>
      </c>
      <c r="H16" s="28" t="s">
        <v>215</v>
      </c>
    </row>
    <row r="17">
      <c r="A17" s="28" t="s">
        <v>184</v>
      </c>
      <c r="B17" s="39">
        <v>45927.436747685184</v>
      </c>
      <c r="C17" s="28" t="s">
        <v>254</v>
      </c>
      <c r="D17" s="28" t="s">
        <v>212</v>
      </c>
      <c r="F17" s="28" t="s">
        <v>186</v>
      </c>
      <c r="G17" s="28" t="s">
        <v>255</v>
      </c>
      <c r="H17" s="28" t="s">
        <v>219</v>
      </c>
    </row>
    <row r="18">
      <c r="A18" s="28" t="s">
        <v>256</v>
      </c>
      <c r="B18" s="39">
        <v>45932.478946759256</v>
      </c>
      <c r="C18" s="28" t="s">
        <v>211</v>
      </c>
      <c r="D18" s="28" t="s">
        <v>217</v>
      </c>
      <c r="E18" s="28" t="s">
        <v>257</v>
      </c>
      <c r="F18" s="28" t="s">
        <v>258</v>
      </c>
      <c r="G18" s="28" t="s">
        <v>259</v>
      </c>
      <c r="H18" s="28" t="s">
        <v>240</v>
      </c>
    </row>
    <row r="19">
      <c r="A19" s="28" t="s">
        <v>260</v>
      </c>
      <c r="B19" s="39">
        <v>45936.44771990741</v>
      </c>
      <c r="C19" s="28" t="s">
        <v>261</v>
      </c>
      <c r="D19" s="28" t="s">
        <v>212</v>
      </c>
      <c r="F19" s="28" t="s">
        <v>262</v>
      </c>
      <c r="G19" s="28" t="s">
        <v>263</v>
      </c>
      <c r="H19" s="28" t="s">
        <v>215</v>
      </c>
    </row>
    <row r="20">
      <c r="A20" s="28" t="s">
        <v>264</v>
      </c>
      <c r="B20" s="39">
        <v>45936.48081018519</v>
      </c>
      <c r="C20" s="28" t="s">
        <v>248</v>
      </c>
      <c r="D20" s="28" t="s">
        <v>212</v>
      </c>
      <c r="F20" s="28" t="s">
        <v>265</v>
      </c>
      <c r="G20" s="28" t="s">
        <v>266</v>
      </c>
      <c r="H20" s="28" t="s">
        <v>215</v>
      </c>
    </row>
    <row r="21">
      <c r="A21" s="28" t="s">
        <v>267</v>
      </c>
      <c r="B21" s="39">
        <v>45958.5603125</v>
      </c>
      <c r="C21" s="28" t="s">
        <v>248</v>
      </c>
      <c r="D21" s="28" t="s">
        <v>212</v>
      </c>
      <c r="F21" s="28" t="s">
        <v>268</v>
      </c>
      <c r="G21" s="28" t="s">
        <v>269</v>
      </c>
      <c r="H21" s="28" t="s">
        <v>215</v>
      </c>
    </row>
    <row r="22">
      <c r="A22" s="28" t="s">
        <v>270</v>
      </c>
      <c r="B22" s="39">
        <v>45964.43457175926</v>
      </c>
      <c r="C22" s="28" t="s">
        <v>211</v>
      </c>
      <c r="D22" s="28" t="s">
        <v>212</v>
      </c>
      <c r="F22" s="28" t="s">
        <v>271</v>
      </c>
      <c r="G22" s="28" t="s">
        <v>272</v>
      </c>
      <c r="H22" s="28" t="s">
        <v>240</v>
      </c>
    </row>
    <row r="23">
      <c r="A23" s="28" t="s">
        <v>188</v>
      </c>
      <c r="B23" s="39">
        <v>45976.21585648148</v>
      </c>
      <c r="C23" s="28" t="s">
        <v>190</v>
      </c>
      <c r="D23" s="28" t="s">
        <v>217</v>
      </c>
      <c r="E23" s="28" t="s">
        <v>191</v>
      </c>
      <c r="F23" s="28" t="s">
        <v>190</v>
      </c>
      <c r="G23" s="28" t="s">
        <v>273</v>
      </c>
      <c r="H23" s="28" t="s">
        <v>219</v>
      </c>
    </row>
    <row r="24">
      <c r="A24" s="28" t="s">
        <v>274</v>
      </c>
      <c r="B24" s="39">
        <v>45989.5171875</v>
      </c>
      <c r="C24" s="28" t="s">
        <v>275</v>
      </c>
      <c r="D24" s="28" t="s">
        <v>212</v>
      </c>
      <c r="F24" s="28" t="s">
        <v>276</v>
      </c>
      <c r="G24" s="28" t="s">
        <v>277</v>
      </c>
      <c r="H24" s="28" t="s">
        <v>278</v>
      </c>
    </row>
    <row r="25">
      <c r="A25" s="28" t="s">
        <v>279</v>
      </c>
      <c r="B25" s="39">
        <v>45996.50417824074</v>
      </c>
      <c r="C25" s="28" t="s">
        <v>280</v>
      </c>
      <c r="D25" s="28" t="s">
        <v>212</v>
      </c>
      <c r="F25" s="28" t="s">
        <v>281</v>
      </c>
      <c r="G25" s="28" t="s">
        <v>282</v>
      </c>
      <c r="H25" s="28" t="s">
        <v>215</v>
      </c>
    </row>
    <row r="26">
      <c r="A26" s="28" t="s">
        <v>283</v>
      </c>
      <c r="B26" s="39">
        <v>46010.88883101852</v>
      </c>
      <c r="C26" s="28" t="s">
        <v>284</v>
      </c>
      <c r="D26" s="28" t="s">
        <v>212</v>
      </c>
      <c r="E26" s="28"/>
      <c r="F26" s="28" t="s">
        <v>285</v>
      </c>
      <c r="G26" s="28" t="s">
        <v>286</v>
      </c>
      <c r="H26" s="28" t="s">
        <v>278</v>
      </c>
    </row>
    <row r="27">
      <c r="A27" s="28" t="s">
        <v>287</v>
      </c>
      <c r="B27" s="39">
        <v>46010.670219907406</v>
      </c>
      <c r="C27" s="28" t="s">
        <v>288</v>
      </c>
      <c r="D27" s="28" t="s">
        <v>212</v>
      </c>
      <c r="F27" s="28" t="s">
        <v>289</v>
      </c>
      <c r="G27" s="28" t="s">
        <v>290</v>
      </c>
      <c r="H27" s="28" t="s">
        <v>278</v>
      </c>
    </row>
    <row r="28">
      <c r="A28" s="28" t="s">
        <v>291</v>
      </c>
      <c r="B28" s="39">
        <v>46017.51100694444</v>
      </c>
      <c r="C28" s="28" t="s">
        <v>292</v>
      </c>
      <c r="D28" s="28" t="s">
        <v>212</v>
      </c>
      <c r="F28" s="28" t="s">
        <v>293</v>
      </c>
      <c r="G28" s="28" t="s">
        <v>294</v>
      </c>
      <c r="H28" s="28" t="s">
        <v>278</v>
      </c>
    </row>
    <row r="29">
      <c r="A29" s="28" t="s">
        <v>295</v>
      </c>
      <c r="B29" s="39">
        <v>46029.4921412037</v>
      </c>
      <c r="C29" s="28" t="s">
        <v>296</v>
      </c>
      <c r="D29" s="28" t="s">
        <v>212</v>
      </c>
      <c r="F29" s="28" t="s">
        <v>297</v>
      </c>
      <c r="G29" s="28" t="s">
        <v>298</v>
      </c>
      <c r="H29" s="28" t="s">
        <v>278</v>
      </c>
    </row>
    <row r="30">
      <c r="A30" s="28" t="s">
        <v>299</v>
      </c>
      <c r="B30" s="39">
        <v>46035.46934027778</v>
      </c>
      <c r="C30" s="28" t="s">
        <v>300</v>
      </c>
      <c r="D30" s="28" t="s">
        <v>212</v>
      </c>
      <c r="F30" s="28" t="s">
        <v>301</v>
      </c>
      <c r="G30" s="28" t="s">
        <v>302</v>
      </c>
      <c r="H30" s="28" t="s">
        <v>278</v>
      </c>
    </row>
    <row r="31">
      <c r="A31" s="28" t="s">
        <v>303</v>
      </c>
      <c r="B31" s="39">
        <v>46099.53270833333</v>
      </c>
      <c r="C31" s="28" t="s">
        <v>304</v>
      </c>
      <c r="D31" s="28" t="s">
        <v>212</v>
      </c>
      <c r="F31" s="28" t="s">
        <v>305</v>
      </c>
      <c r="G31" s="28" t="s">
        <v>306</v>
      </c>
      <c r="H31" s="28" t="s">
        <v>278</v>
      </c>
    </row>
    <row r="32">
      <c r="A32" s="28" t="s">
        <v>307</v>
      </c>
      <c r="B32" s="39">
        <v>46117.86834490741</v>
      </c>
      <c r="C32" s="28" t="s">
        <v>308</v>
      </c>
      <c r="D32" s="28" t="s">
        <v>212</v>
      </c>
      <c r="F32" s="28" t="s">
        <v>309</v>
      </c>
      <c r="G32" s="28" t="s">
        <v>310</v>
      </c>
      <c r="H32" s="28" t="s">
        <v>278</v>
      </c>
    </row>
    <row r="33">
      <c r="A33" s="28" t="s">
        <v>311</v>
      </c>
      <c r="B33" s="39">
        <v>46119.68892361111</v>
      </c>
      <c r="C33" s="28" t="s">
        <v>211</v>
      </c>
      <c r="D33" s="28" t="s">
        <v>217</v>
      </c>
      <c r="E33" s="28" t="s">
        <v>312</v>
      </c>
      <c r="F33" s="28" t="s">
        <v>313</v>
      </c>
      <c r="G33" s="28" t="s">
        <v>314</v>
      </c>
      <c r="H33" s="28" t="s">
        <v>240</v>
      </c>
    </row>
    <row r="34">
      <c r="A34" s="28" t="s">
        <v>195</v>
      </c>
      <c r="B34" s="39">
        <v>46120.63793981481</v>
      </c>
      <c r="C34" s="28" t="s">
        <v>315</v>
      </c>
      <c r="D34" s="28" t="s">
        <v>212</v>
      </c>
      <c r="F34" s="28" t="s">
        <v>197</v>
      </c>
      <c r="G34" s="28" t="s">
        <v>316</v>
      </c>
      <c r="H34" s="28" t="s">
        <v>219</v>
      </c>
    </row>
    <row r="35">
      <c r="A35" s="28" t="s">
        <v>193</v>
      </c>
      <c r="B35" s="39">
        <v>46128.59474537037</v>
      </c>
      <c r="C35" s="28" t="s">
        <v>317</v>
      </c>
      <c r="D35" s="28" t="s">
        <v>217</v>
      </c>
      <c r="E35" s="28" t="s">
        <v>318</v>
      </c>
      <c r="F35" s="28" t="s">
        <v>319</v>
      </c>
      <c r="G35" s="28" t="s">
        <v>320</v>
      </c>
      <c r="H35" s="28" t="s">
        <v>278</v>
      </c>
    </row>
  </sheetData>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75"/>
  </cols>
  <sheetData>
    <row r="1">
      <c r="A1" s="28" t="s">
        <v>321</v>
      </c>
      <c r="B1" s="28" t="s">
        <v>322</v>
      </c>
      <c r="C1" s="28" t="s">
        <v>209</v>
      </c>
      <c r="D1" s="28" t="s">
        <v>323</v>
      </c>
    </row>
    <row r="2">
      <c r="A2" s="28"/>
      <c r="B2" s="28"/>
      <c r="C2" s="28"/>
      <c r="D2" s="28"/>
    </row>
    <row r="3">
      <c r="A3" s="28" t="s">
        <v>219</v>
      </c>
      <c r="B3" s="28">
        <v>1.0</v>
      </c>
      <c r="C3" s="28" t="s">
        <v>324</v>
      </c>
    </row>
    <row r="4">
      <c r="A4" s="28" t="s">
        <v>278</v>
      </c>
      <c r="B4" s="28">
        <v>2.0</v>
      </c>
      <c r="C4" s="28" t="s">
        <v>325</v>
      </c>
    </row>
    <row r="5">
      <c r="A5" s="28" t="s">
        <v>326</v>
      </c>
      <c r="B5" s="28">
        <v>3.0</v>
      </c>
      <c r="C5" s="28" t="s">
        <v>327</v>
      </c>
    </row>
    <row r="6">
      <c r="A6" s="28" t="s">
        <v>328</v>
      </c>
      <c r="B6" s="28">
        <v>4.0</v>
      </c>
      <c r="C6" s="28" t="s">
        <v>329</v>
      </c>
    </row>
    <row r="7">
      <c r="A7" s="28" t="s">
        <v>330</v>
      </c>
      <c r="B7" s="28">
        <v>5.0</v>
      </c>
      <c r="C7" s="28" t="s">
        <v>331</v>
      </c>
    </row>
    <row r="8">
      <c r="A8" s="28" t="s">
        <v>332</v>
      </c>
      <c r="B8" s="28">
        <v>6.0</v>
      </c>
      <c r="C8" s="28" t="s">
        <v>333</v>
      </c>
    </row>
    <row r="9">
      <c r="A9" s="28" t="s">
        <v>334</v>
      </c>
      <c r="B9" s="28">
        <v>7.0</v>
      </c>
      <c r="C9" s="28" t="s">
        <v>335</v>
      </c>
    </row>
    <row r="10">
      <c r="A10" s="28" t="s">
        <v>336</v>
      </c>
      <c r="B10" s="28">
        <v>8.0</v>
      </c>
      <c r="C10" s="28" t="s">
        <v>337</v>
      </c>
    </row>
    <row r="11">
      <c r="A11" s="28" t="s">
        <v>338</v>
      </c>
      <c r="B11" s="28">
        <v>9.0</v>
      </c>
      <c r="C11" s="28" t="s">
        <v>215</v>
      </c>
    </row>
    <row r="12">
      <c r="A12" s="28" t="s">
        <v>339</v>
      </c>
      <c r="B12" s="28">
        <v>10.0</v>
      </c>
      <c r="C12" s="28" t="s">
        <v>340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s>
  <sheetData>
    <row r="1">
      <c r="A1" s="28" t="s">
        <v>341</v>
      </c>
      <c r="B1" s="28" t="s">
        <v>342</v>
      </c>
    </row>
    <row r="2">
      <c r="A2" s="8" t="s">
        <v>343</v>
      </c>
    </row>
    <row r="3">
      <c r="A3" s="8" t="s">
        <v>344</v>
      </c>
      <c r="B3" s="28" t="s">
        <v>345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346</v>
      </c>
      <c r="B1" s="40" t="s">
        <v>347</v>
      </c>
      <c r="C1" s="40" t="s">
        <v>348</v>
      </c>
      <c r="D1" s="40" t="s">
        <v>349</v>
      </c>
      <c r="E1" s="40" t="s">
        <v>350</v>
      </c>
      <c r="F1" s="40" t="s">
        <v>351</v>
      </c>
    </row>
    <row r="2">
      <c r="A2" s="41" t="s">
        <v>352</v>
      </c>
      <c r="B2" s="42">
        <v>1.0</v>
      </c>
      <c r="C2" s="43" t="s">
        <v>353</v>
      </c>
      <c r="D2" s="44">
        <v>4.3844111E7</v>
      </c>
      <c r="E2" s="45">
        <v>652860.0</v>
      </c>
      <c r="F2" s="42">
        <v>67.0</v>
      </c>
    </row>
    <row r="3">
      <c r="A3" s="41" t="s">
        <v>354</v>
      </c>
      <c r="B3" s="42">
        <v>2.0</v>
      </c>
      <c r="C3" s="43" t="s">
        <v>355</v>
      </c>
      <c r="D3" s="44">
        <v>2771508.0</v>
      </c>
      <c r="E3" s="45">
        <v>27400.0</v>
      </c>
      <c r="F3" s="42">
        <v>101.0</v>
      </c>
    </row>
    <row r="4">
      <c r="A4" s="41" t="s">
        <v>356</v>
      </c>
      <c r="B4" s="42">
        <v>3.0</v>
      </c>
      <c r="C4" s="43" t="s">
        <v>357</v>
      </c>
      <c r="D4" s="44">
        <v>4.7435312E7</v>
      </c>
      <c r="E4" s="45">
        <v>2381740.0</v>
      </c>
      <c r="F4" s="42">
        <v>20.0</v>
      </c>
    </row>
    <row r="5">
      <c r="A5" s="41" t="s">
        <v>358</v>
      </c>
      <c r="B5" s="42">
        <v>4.0</v>
      </c>
      <c r="C5" s="43" t="s">
        <v>359</v>
      </c>
      <c r="D5" s="44">
        <v>82904.0</v>
      </c>
      <c r="E5" s="42">
        <v>470.0</v>
      </c>
      <c r="F5" s="42">
        <v>176.0</v>
      </c>
    </row>
    <row r="6">
      <c r="A6" s="41" t="s">
        <v>360</v>
      </c>
      <c r="B6" s="42">
        <v>5.0</v>
      </c>
      <c r="C6" s="43" t="s">
        <v>361</v>
      </c>
      <c r="D6" s="44">
        <v>3.9040039E7</v>
      </c>
      <c r="E6" s="45">
        <v>1246700.0</v>
      </c>
      <c r="F6" s="42">
        <v>31.0</v>
      </c>
    </row>
    <row r="7">
      <c r="A7" s="41" t="s">
        <v>362</v>
      </c>
      <c r="B7" s="42">
        <v>6.0</v>
      </c>
      <c r="C7" s="43" t="s">
        <v>363</v>
      </c>
      <c r="D7" s="44">
        <v>94209.0</v>
      </c>
      <c r="E7" s="42">
        <v>440.0</v>
      </c>
      <c r="F7" s="42">
        <v>214.0</v>
      </c>
    </row>
    <row r="8">
      <c r="A8" s="41" t="s">
        <v>364</v>
      </c>
      <c r="B8" s="42">
        <v>7.0</v>
      </c>
      <c r="C8" s="43" t="s">
        <v>365</v>
      </c>
      <c r="D8" s="44">
        <v>4.5851378E7</v>
      </c>
      <c r="E8" s="45">
        <v>2736690.0</v>
      </c>
      <c r="F8" s="42">
        <v>17.0</v>
      </c>
    </row>
    <row r="9">
      <c r="A9" s="41" t="s">
        <v>366</v>
      </c>
      <c r="B9" s="42">
        <v>8.0</v>
      </c>
      <c r="C9" s="43" t="s">
        <v>367</v>
      </c>
      <c r="D9" s="44">
        <v>2952365.0</v>
      </c>
      <c r="E9" s="45">
        <v>28470.0</v>
      </c>
      <c r="F9" s="42">
        <v>104.0</v>
      </c>
    </row>
    <row r="10">
      <c r="A10" s="41" t="s">
        <v>368</v>
      </c>
      <c r="B10" s="42">
        <v>9.0</v>
      </c>
      <c r="C10" s="43" t="s">
        <v>369</v>
      </c>
      <c r="D10" s="44">
        <v>2.6974026E7</v>
      </c>
      <c r="E10" s="45">
        <v>7682300.0</v>
      </c>
      <c r="F10" s="42">
        <v>4.0</v>
      </c>
    </row>
    <row r="11">
      <c r="A11" s="41" t="s">
        <v>370</v>
      </c>
      <c r="B11" s="42">
        <v>10.0</v>
      </c>
      <c r="C11" s="43" t="s">
        <v>371</v>
      </c>
      <c r="D11" s="44">
        <v>9113574.0</v>
      </c>
      <c r="E11" s="45">
        <v>82409.0</v>
      </c>
      <c r="F11" s="42">
        <v>111.0</v>
      </c>
    </row>
    <row r="12">
      <c r="A12" s="41" t="s">
        <v>372</v>
      </c>
      <c r="B12" s="42">
        <v>11.0</v>
      </c>
      <c r="C12" s="43" t="s">
        <v>373</v>
      </c>
      <c r="D12" s="44">
        <v>1.0397713E7</v>
      </c>
      <c r="E12" s="45">
        <v>82658.0</v>
      </c>
      <c r="F12" s="42">
        <v>126.0</v>
      </c>
    </row>
    <row r="13">
      <c r="A13" s="41" t="s">
        <v>374</v>
      </c>
      <c r="B13" s="42">
        <v>12.0</v>
      </c>
      <c r="C13" s="43" t="s">
        <v>375</v>
      </c>
      <c r="D13" s="44">
        <v>403033.0</v>
      </c>
      <c r="E13" s="45">
        <v>10010.0</v>
      </c>
      <c r="F13" s="42">
        <v>40.0</v>
      </c>
    </row>
    <row r="14">
      <c r="A14" s="41" t="s">
        <v>376</v>
      </c>
      <c r="B14" s="42">
        <v>13.0</v>
      </c>
      <c r="C14" s="43" t="s">
        <v>377</v>
      </c>
      <c r="D14" s="44">
        <v>1643332.0</v>
      </c>
      <c r="E14" s="42">
        <v>760.0</v>
      </c>
      <c r="F14" s="45">
        <v>2162.0</v>
      </c>
    </row>
    <row r="15">
      <c r="A15" s="41" t="s">
        <v>378</v>
      </c>
      <c r="B15" s="42">
        <v>14.0</v>
      </c>
      <c r="C15" s="43" t="s">
        <v>379</v>
      </c>
      <c r="D15" s="44">
        <v>1.75686899E8</v>
      </c>
      <c r="E15" s="45">
        <v>130170.0</v>
      </c>
      <c r="F15" s="45">
        <v>1350.0</v>
      </c>
    </row>
    <row r="16">
      <c r="A16" s="41" t="s">
        <v>380</v>
      </c>
      <c r="B16" s="42">
        <v>15.0</v>
      </c>
      <c r="C16" s="43" t="s">
        <v>381</v>
      </c>
      <c r="D16" s="44">
        <v>282623.0</v>
      </c>
      <c r="E16" s="42">
        <v>430.0</v>
      </c>
      <c r="F16" s="42">
        <v>657.0</v>
      </c>
    </row>
    <row r="17">
      <c r="A17" s="41" t="s">
        <v>382</v>
      </c>
      <c r="B17" s="42">
        <v>16.0</v>
      </c>
      <c r="C17" s="43" t="s">
        <v>383</v>
      </c>
      <c r="D17" s="44">
        <v>8997603.0</v>
      </c>
      <c r="E17" s="45">
        <v>202910.0</v>
      </c>
      <c r="F17" s="42">
        <v>44.0</v>
      </c>
    </row>
    <row r="18">
      <c r="A18" s="41" t="s">
        <v>384</v>
      </c>
      <c r="B18" s="42">
        <v>17.0</v>
      </c>
      <c r="C18" s="43" t="s">
        <v>385</v>
      </c>
      <c r="D18" s="44">
        <v>1.1758603E7</v>
      </c>
      <c r="E18" s="45">
        <v>30280.0</v>
      </c>
      <c r="F18" s="42">
        <v>388.0</v>
      </c>
    </row>
    <row r="19">
      <c r="A19" s="41" t="s">
        <v>386</v>
      </c>
      <c r="B19" s="42">
        <v>18.0</v>
      </c>
      <c r="C19" s="43" t="s">
        <v>387</v>
      </c>
      <c r="D19" s="44">
        <v>422924.0</v>
      </c>
      <c r="E19" s="45">
        <v>22810.0</v>
      </c>
      <c r="F19" s="42">
        <v>19.0</v>
      </c>
    </row>
    <row r="20">
      <c r="A20" s="41" t="s">
        <v>388</v>
      </c>
      <c r="B20" s="42">
        <v>19.0</v>
      </c>
      <c r="C20" s="43" t="s">
        <v>389</v>
      </c>
      <c r="D20" s="44">
        <v>1.481446E7</v>
      </c>
      <c r="E20" s="45">
        <v>112760.0</v>
      </c>
      <c r="F20" s="42">
        <v>131.0</v>
      </c>
    </row>
    <row r="21">
      <c r="A21" s="41" t="s">
        <v>390</v>
      </c>
      <c r="B21" s="42">
        <v>20.0</v>
      </c>
      <c r="C21" s="43" t="s">
        <v>391</v>
      </c>
      <c r="D21" s="44">
        <v>796682.0</v>
      </c>
      <c r="E21" s="45">
        <v>38117.0</v>
      </c>
      <c r="F21" s="42">
        <v>21.0</v>
      </c>
    </row>
    <row r="22">
      <c r="A22" s="41" t="s">
        <v>392</v>
      </c>
      <c r="B22" s="42">
        <v>21.0</v>
      </c>
      <c r="C22" s="43" t="s">
        <v>393</v>
      </c>
      <c r="D22" s="44">
        <v>1.2581843E7</v>
      </c>
      <c r="E22" s="45">
        <v>1083300.0</v>
      </c>
      <c r="F22" s="42">
        <v>12.0</v>
      </c>
    </row>
    <row r="23">
      <c r="A23" s="41" t="s">
        <v>394</v>
      </c>
      <c r="B23" s="42">
        <v>22.0</v>
      </c>
      <c r="C23" s="43" t="s">
        <v>395</v>
      </c>
      <c r="D23" s="44">
        <v>3140095.0</v>
      </c>
      <c r="E23" s="45">
        <v>51000.0</v>
      </c>
      <c r="F23" s="42">
        <v>62.0</v>
      </c>
    </row>
    <row r="24">
      <c r="A24" s="41" t="s">
        <v>396</v>
      </c>
      <c r="B24" s="42">
        <v>23.0</v>
      </c>
      <c r="C24" s="43" t="s">
        <v>397</v>
      </c>
      <c r="D24" s="44">
        <v>2562122.0</v>
      </c>
      <c r="E24" s="45">
        <v>566730.0</v>
      </c>
      <c r="F24" s="42">
        <v>5.0</v>
      </c>
    </row>
    <row r="25">
      <c r="A25" s="41" t="s">
        <v>398</v>
      </c>
      <c r="B25" s="42">
        <v>24.0</v>
      </c>
      <c r="C25" s="43" t="s">
        <v>399</v>
      </c>
      <c r="D25" s="44">
        <v>2.12812405E8</v>
      </c>
      <c r="E25" s="45">
        <v>8358140.0</v>
      </c>
      <c r="F25" s="42">
        <v>25.0</v>
      </c>
    </row>
    <row r="26">
      <c r="A26" s="41" t="s">
        <v>400</v>
      </c>
      <c r="B26" s="42">
        <v>25.0</v>
      </c>
      <c r="C26" s="43" t="s">
        <v>401</v>
      </c>
      <c r="D26" s="44">
        <v>466330.0</v>
      </c>
      <c r="E26" s="45">
        <v>5270.0</v>
      </c>
      <c r="F26" s="42">
        <v>88.0</v>
      </c>
    </row>
    <row r="27">
      <c r="A27" s="41" t="s">
        <v>402</v>
      </c>
      <c r="B27" s="42">
        <v>26.0</v>
      </c>
      <c r="C27" s="43" t="s">
        <v>403</v>
      </c>
      <c r="D27" s="44">
        <v>6714560.0</v>
      </c>
      <c r="E27" s="45">
        <v>108560.0</v>
      </c>
      <c r="F27" s="42">
        <v>62.0</v>
      </c>
    </row>
    <row r="28">
      <c r="A28" s="41" t="s">
        <v>404</v>
      </c>
      <c r="B28" s="42">
        <v>27.0</v>
      </c>
      <c r="C28" s="43" t="s">
        <v>405</v>
      </c>
      <c r="D28" s="44">
        <v>2.407458E7</v>
      </c>
      <c r="E28" s="45">
        <v>273600.0</v>
      </c>
      <c r="F28" s="42">
        <v>88.0</v>
      </c>
    </row>
    <row r="29">
      <c r="A29" s="41" t="s">
        <v>406</v>
      </c>
      <c r="B29" s="42">
        <v>28.0</v>
      </c>
      <c r="C29" s="43" t="s">
        <v>407</v>
      </c>
      <c r="D29" s="44">
        <v>1.4390003E7</v>
      </c>
      <c r="E29" s="45">
        <v>25680.0</v>
      </c>
      <c r="F29" s="42">
        <v>560.0</v>
      </c>
    </row>
    <row r="30">
      <c r="A30" s="41" t="s">
        <v>408</v>
      </c>
      <c r="B30" s="42">
        <v>29.0</v>
      </c>
      <c r="C30" s="43" t="s">
        <v>409</v>
      </c>
      <c r="D30" s="44">
        <v>527326.0</v>
      </c>
      <c r="E30" s="45">
        <v>4030.0</v>
      </c>
      <c r="F30" s="42">
        <v>131.0</v>
      </c>
    </row>
    <row r="31">
      <c r="A31" s="41" t="s">
        <v>410</v>
      </c>
      <c r="B31" s="42">
        <v>30.0</v>
      </c>
      <c r="C31" s="43" t="s">
        <v>411</v>
      </c>
      <c r="D31" s="44">
        <v>1.7847982E7</v>
      </c>
      <c r="E31" s="45">
        <v>176520.0</v>
      </c>
      <c r="F31" s="42">
        <v>101.0</v>
      </c>
    </row>
    <row r="32">
      <c r="A32" s="41" t="s">
        <v>412</v>
      </c>
      <c r="B32" s="42">
        <v>31.0</v>
      </c>
      <c r="C32" s="43" t="s">
        <v>413</v>
      </c>
      <c r="D32" s="44">
        <v>2.9879337E7</v>
      </c>
      <c r="E32" s="45">
        <v>472710.0</v>
      </c>
      <c r="F32" s="42">
        <v>63.0</v>
      </c>
    </row>
    <row r="33">
      <c r="A33" s="41" t="s">
        <v>414</v>
      </c>
      <c r="B33" s="42">
        <v>32.0</v>
      </c>
      <c r="C33" s="43" t="s">
        <v>415</v>
      </c>
      <c r="D33" s="44">
        <v>4.0126723E7</v>
      </c>
      <c r="E33" s="45">
        <v>9093510.0</v>
      </c>
      <c r="F33" s="42">
        <v>4.0</v>
      </c>
    </row>
    <row r="34">
      <c r="A34" s="41" t="s">
        <v>416</v>
      </c>
      <c r="B34" s="42">
        <v>33.0</v>
      </c>
      <c r="C34" s="43" t="s">
        <v>417</v>
      </c>
      <c r="D34" s="44">
        <v>5513282.0</v>
      </c>
      <c r="E34" s="45">
        <v>622980.0</v>
      </c>
      <c r="F34" s="42">
        <v>9.0</v>
      </c>
    </row>
    <row r="35">
      <c r="A35" s="41" t="s">
        <v>418</v>
      </c>
      <c r="B35" s="42">
        <v>34.0</v>
      </c>
      <c r="C35" s="43" t="s">
        <v>419</v>
      </c>
      <c r="D35" s="44">
        <v>2.1003705E7</v>
      </c>
      <c r="E35" s="45">
        <v>1259200.0</v>
      </c>
      <c r="F35" s="42">
        <v>17.0</v>
      </c>
    </row>
    <row r="36">
      <c r="A36" s="41" t="s">
        <v>420</v>
      </c>
      <c r="B36" s="42">
        <v>35.0</v>
      </c>
      <c r="C36" s="43" t="s">
        <v>421</v>
      </c>
      <c r="D36" s="44">
        <v>1.9859921E7</v>
      </c>
      <c r="E36" s="45">
        <v>743532.0</v>
      </c>
      <c r="F36" s="42">
        <v>27.0</v>
      </c>
    </row>
    <row r="37">
      <c r="A37" s="41" t="s">
        <v>422</v>
      </c>
      <c r="B37" s="42">
        <v>36.0</v>
      </c>
      <c r="C37" s="43" t="s">
        <v>423</v>
      </c>
      <c r="D37" s="44">
        <v>1.416096094E9</v>
      </c>
      <c r="E37" s="45">
        <v>9388211.0</v>
      </c>
      <c r="F37" s="42">
        <v>151.0</v>
      </c>
    </row>
    <row r="38">
      <c r="A38" s="41" t="s">
        <v>424</v>
      </c>
      <c r="B38" s="42">
        <v>37.0</v>
      </c>
      <c r="C38" s="43" t="s">
        <v>425</v>
      </c>
      <c r="D38" s="44">
        <v>5.3425635E7</v>
      </c>
      <c r="E38" s="45">
        <v>1109500.0</v>
      </c>
      <c r="F38" s="42">
        <v>48.0</v>
      </c>
    </row>
    <row r="39">
      <c r="A39" s="41" t="s">
        <v>426</v>
      </c>
      <c r="B39" s="42">
        <v>38.0</v>
      </c>
      <c r="C39" s="43" t="s">
        <v>427</v>
      </c>
      <c r="D39" s="44">
        <v>882847.0</v>
      </c>
      <c r="E39" s="45">
        <v>1861.0</v>
      </c>
      <c r="F39" s="42">
        <v>474.0</v>
      </c>
    </row>
    <row r="40">
      <c r="A40" s="41" t="s">
        <v>428</v>
      </c>
      <c r="B40" s="42">
        <v>39.0</v>
      </c>
      <c r="C40" s="43" t="s">
        <v>429</v>
      </c>
      <c r="D40" s="44">
        <v>6484437.0</v>
      </c>
      <c r="E40" s="45">
        <v>341500.0</v>
      </c>
      <c r="F40" s="42">
        <v>19.0</v>
      </c>
    </row>
    <row r="41">
      <c r="A41" s="41" t="s">
        <v>430</v>
      </c>
      <c r="B41" s="42">
        <v>40.0</v>
      </c>
      <c r="C41" s="43" t="s">
        <v>431</v>
      </c>
      <c r="D41" s="44">
        <v>5152950.0</v>
      </c>
      <c r="E41" s="45">
        <v>51060.0</v>
      </c>
      <c r="F41" s="42">
        <v>101.0</v>
      </c>
    </row>
    <row r="42">
      <c r="A42" s="41" t="s">
        <v>432</v>
      </c>
      <c r="B42" s="42">
        <v>41.0</v>
      </c>
      <c r="C42" s="43" t="s">
        <v>433</v>
      </c>
      <c r="D42" s="44">
        <v>3.2711547E7</v>
      </c>
      <c r="E42" s="45">
        <v>318000.0</v>
      </c>
      <c r="F42" s="42">
        <v>103.0</v>
      </c>
    </row>
    <row r="43">
      <c r="A43" s="41" t="s">
        <v>434</v>
      </c>
      <c r="B43" s="42">
        <v>42.0</v>
      </c>
      <c r="C43" s="43" t="s">
        <v>435</v>
      </c>
      <c r="D43" s="44">
        <v>3848160.0</v>
      </c>
      <c r="E43" s="45">
        <v>55960.0</v>
      </c>
      <c r="F43" s="42">
        <v>69.0</v>
      </c>
    </row>
    <row r="44">
      <c r="A44" s="41" t="s">
        <v>436</v>
      </c>
      <c r="B44" s="42">
        <v>43.0</v>
      </c>
      <c r="C44" s="43" t="s">
        <v>437</v>
      </c>
      <c r="D44" s="44">
        <v>1.0937203E7</v>
      </c>
      <c r="E44" s="45">
        <v>106440.0</v>
      </c>
      <c r="F44" s="42">
        <v>103.0</v>
      </c>
    </row>
    <row r="45">
      <c r="A45" s="41" t="s">
        <v>438</v>
      </c>
      <c r="B45" s="42">
        <v>44.0</v>
      </c>
      <c r="C45" s="43" t="s">
        <v>439</v>
      </c>
      <c r="D45" s="44">
        <v>1370754.0</v>
      </c>
      <c r="E45" s="45">
        <v>9240.0</v>
      </c>
      <c r="F45" s="42">
        <v>148.0</v>
      </c>
    </row>
    <row r="46">
      <c r="A46" s="41" t="s">
        <v>440</v>
      </c>
      <c r="B46" s="42">
        <v>45.0</v>
      </c>
      <c r="C46" s="43" t="s">
        <v>441</v>
      </c>
      <c r="D46" s="44">
        <v>1.0609239E7</v>
      </c>
      <c r="E46" s="45">
        <v>77240.0</v>
      </c>
      <c r="F46" s="42">
        <v>137.0</v>
      </c>
    </row>
    <row r="47">
      <c r="A47" s="41" t="s">
        <v>442</v>
      </c>
      <c r="B47" s="42">
        <v>46.0</v>
      </c>
      <c r="C47" s="43" t="s">
        <v>443</v>
      </c>
      <c r="D47" s="44">
        <v>1.12832473E8</v>
      </c>
      <c r="E47" s="45">
        <v>2267050.0</v>
      </c>
      <c r="F47" s="42">
        <v>50.0</v>
      </c>
    </row>
    <row r="48">
      <c r="A48" s="41" t="s">
        <v>444</v>
      </c>
      <c r="B48" s="42">
        <v>47.0</v>
      </c>
      <c r="C48" s="43" t="s">
        <v>445</v>
      </c>
      <c r="D48" s="44">
        <v>6002507.0</v>
      </c>
      <c r="E48" s="45">
        <v>42430.0</v>
      </c>
      <c r="F48" s="42">
        <v>141.0</v>
      </c>
    </row>
    <row r="49">
      <c r="A49" s="41" t="s">
        <v>446</v>
      </c>
      <c r="B49" s="42">
        <v>48.0</v>
      </c>
      <c r="C49" s="43" t="s">
        <v>447</v>
      </c>
      <c r="D49" s="44">
        <v>1184076.0</v>
      </c>
      <c r="E49" s="45">
        <v>23180.0</v>
      </c>
      <c r="F49" s="42">
        <v>51.0</v>
      </c>
    </row>
    <row r="50">
      <c r="A50" s="41" t="s">
        <v>448</v>
      </c>
      <c r="B50" s="42">
        <v>49.0</v>
      </c>
      <c r="C50" s="43" t="s">
        <v>449</v>
      </c>
      <c r="D50" s="44">
        <v>65871.0</v>
      </c>
      <c r="E50" s="42">
        <v>750.0</v>
      </c>
      <c r="F50" s="42">
        <v>88.0</v>
      </c>
    </row>
    <row r="51">
      <c r="A51" s="41" t="s">
        <v>450</v>
      </c>
      <c r="B51" s="42">
        <v>50.0</v>
      </c>
      <c r="C51" s="43" t="s">
        <v>451</v>
      </c>
      <c r="D51" s="44">
        <v>1.1520487E7</v>
      </c>
      <c r="E51" s="45">
        <v>48320.0</v>
      </c>
      <c r="F51" s="42">
        <v>238.0</v>
      </c>
    </row>
    <row r="52">
      <c r="A52" s="41" t="s">
        <v>452</v>
      </c>
      <c r="B52" s="42">
        <v>51.0</v>
      </c>
      <c r="C52" s="43" t="s">
        <v>453</v>
      </c>
      <c r="D52" s="44">
        <v>1.8289896E7</v>
      </c>
      <c r="E52" s="45">
        <v>248360.0</v>
      </c>
      <c r="F52" s="42">
        <v>74.0</v>
      </c>
    </row>
    <row r="53">
      <c r="A53" s="41" t="s">
        <v>454</v>
      </c>
      <c r="B53" s="42">
        <v>52.0</v>
      </c>
      <c r="C53" s="43" t="s">
        <v>455</v>
      </c>
      <c r="D53" s="44">
        <v>1.18365995E8</v>
      </c>
      <c r="E53" s="45">
        <v>995450.0</v>
      </c>
      <c r="F53" s="42">
        <v>119.0</v>
      </c>
    </row>
    <row r="54">
      <c r="A54" s="41" t="s">
        <v>456</v>
      </c>
      <c r="B54" s="42">
        <v>53.0</v>
      </c>
      <c r="C54" s="43" t="s">
        <v>457</v>
      </c>
      <c r="D54" s="44">
        <v>6365503.0</v>
      </c>
      <c r="E54" s="45">
        <v>20720.0</v>
      </c>
      <c r="F54" s="42">
        <v>307.0</v>
      </c>
    </row>
    <row r="55">
      <c r="A55" s="41" t="s">
        <v>458</v>
      </c>
      <c r="B55" s="42">
        <v>54.0</v>
      </c>
      <c r="C55" s="43" t="s">
        <v>459</v>
      </c>
      <c r="D55" s="44">
        <v>1938431.0</v>
      </c>
      <c r="E55" s="45">
        <v>28050.0</v>
      </c>
      <c r="F55" s="42">
        <v>69.0</v>
      </c>
    </row>
    <row r="56">
      <c r="A56" s="41" t="s">
        <v>460</v>
      </c>
      <c r="B56" s="42">
        <v>55.0</v>
      </c>
      <c r="C56" s="43" t="s">
        <v>461</v>
      </c>
      <c r="D56" s="44">
        <v>3607003.0</v>
      </c>
      <c r="E56" s="45">
        <v>101000.0</v>
      </c>
      <c r="F56" s="42">
        <v>36.0</v>
      </c>
    </row>
    <row r="57">
      <c r="A57" s="41" t="s">
        <v>462</v>
      </c>
      <c r="B57" s="42">
        <v>56.0</v>
      </c>
      <c r="C57" s="43" t="s">
        <v>463</v>
      </c>
      <c r="D57" s="44">
        <v>1344232.0</v>
      </c>
      <c r="E57" s="45">
        <v>42390.0</v>
      </c>
      <c r="F57" s="42">
        <v>32.0</v>
      </c>
    </row>
    <row r="58">
      <c r="A58" s="41" t="s">
        <v>464</v>
      </c>
      <c r="B58" s="42">
        <v>57.0</v>
      </c>
      <c r="C58" s="43" t="s">
        <v>465</v>
      </c>
      <c r="D58" s="44">
        <v>1256174.0</v>
      </c>
      <c r="E58" s="45">
        <v>17200.0</v>
      </c>
      <c r="F58" s="42">
        <v>73.0</v>
      </c>
    </row>
    <row r="59">
      <c r="A59" s="41" t="s">
        <v>466</v>
      </c>
      <c r="B59" s="42">
        <v>58.0</v>
      </c>
      <c r="C59" s="43" t="s">
        <v>467</v>
      </c>
      <c r="D59" s="44">
        <v>1.35472051E8</v>
      </c>
      <c r="E59" s="45">
        <v>1000000.0</v>
      </c>
      <c r="F59" s="42">
        <v>135.0</v>
      </c>
    </row>
    <row r="60">
      <c r="A60" s="41" t="s">
        <v>468</v>
      </c>
      <c r="B60" s="42">
        <v>59.0</v>
      </c>
      <c r="C60" s="43" t="s">
        <v>469</v>
      </c>
      <c r="D60" s="44">
        <v>933154.0</v>
      </c>
      <c r="E60" s="45">
        <v>18270.0</v>
      </c>
      <c r="F60" s="42">
        <v>51.0</v>
      </c>
    </row>
    <row r="61">
      <c r="A61" s="41" t="s">
        <v>470</v>
      </c>
      <c r="B61" s="42">
        <v>60.0</v>
      </c>
      <c r="C61" s="43" t="s">
        <v>471</v>
      </c>
      <c r="D61" s="44">
        <v>5623329.0</v>
      </c>
      <c r="E61" s="45">
        <v>303890.0</v>
      </c>
      <c r="F61" s="42">
        <v>19.0</v>
      </c>
    </row>
    <row r="62">
      <c r="A62" s="41" t="s">
        <v>472</v>
      </c>
      <c r="B62" s="42">
        <v>61.0</v>
      </c>
      <c r="C62" s="43" t="s">
        <v>473</v>
      </c>
      <c r="D62" s="44">
        <v>6.6650804E7</v>
      </c>
      <c r="E62" s="45">
        <v>547557.0</v>
      </c>
      <c r="F62" s="42">
        <v>122.0</v>
      </c>
    </row>
    <row r="63">
      <c r="A63" s="41" t="s">
        <v>474</v>
      </c>
      <c r="B63" s="42">
        <v>62.0</v>
      </c>
      <c r="C63" s="43" t="s">
        <v>475</v>
      </c>
      <c r="D63" s="44">
        <v>2593130.0</v>
      </c>
      <c r="E63" s="45">
        <v>257670.0</v>
      </c>
      <c r="F63" s="42">
        <v>10.0</v>
      </c>
    </row>
    <row r="64">
      <c r="A64" s="41" t="s">
        <v>476</v>
      </c>
      <c r="B64" s="42">
        <v>63.0</v>
      </c>
      <c r="C64" s="43" t="s">
        <v>477</v>
      </c>
      <c r="D64" s="44">
        <v>2822093.0</v>
      </c>
      <c r="E64" s="45">
        <v>10120.0</v>
      </c>
      <c r="F64" s="42">
        <v>279.0</v>
      </c>
    </row>
    <row r="65">
      <c r="A65" s="41" t="s">
        <v>478</v>
      </c>
      <c r="B65" s="42">
        <v>64.0</v>
      </c>
      <c r="C65" s="43" t="s">
        <v>479</v>
      </c>
      <c r="D65" s="44">
        <v>3806671.0</v>
      </c>
      <c r="E65" s="45">
        <v>69490.0</v>
      </c>
      <c r="F65" s="42">
        <v>55.0</v>
      </c>
    </row>
    <row r="66">
      <c r="A66" s="41" t="s">
        <v>480</v>
      </c>
      <c r="B66" s="42">
        <v>65.0</v>
      </c>
      <c r="C66" s="43" t="s">
        <v>481</v>
      </c>
      <c r="D66" s="44">
        <v>8.4075075E7</v>
      </c>
      <c r="E66" s="45">
        <v>348560.0</v>
      </c>
      <c r="F66" s="42">
        <v>241.0</v>
      </c>
    </row>
    <row r="67">
      <c r="A67" s="41" t="s">
        <v>482</v>
      </c>
      <c r="B67" s="42">
        <v>66.0</v>
      </c>
      <c r="C67" s="43" t="s">
        <v>483</v>
      </c>
      <c r="D67" s="44">
        <v>3.5064272E7</v>
      </c>
      <c r="E67" s="45">
        <v>227540.0</v>
      </c>
      <c r="F67" s="42">
        <v>154.0</v>
      </c>
    </row>
    <row r="68">
      <c r="A68" s="41" t="s">
        <v>484</v>
      </c>
      <c r="B68" s="42">
        <v>67.0</v>
      </c>
      <c r="C68" s="43" t="s">
        <v>485</v>
      </c>
      <c r="D68" s="44">
        <v>9938844.0</v>
      </c>
      <c r="E68" s="45">
        <v>128900.0</v>
      </c>
      <c r="F68" s="42">
        <v>77.0</v>
      </c>
    </row>
    <row r="69">
      <c r="A69" s="41" t="s">
        <v>486</v>
      </c>
      <c r="B69" s="42">
        <v>68.0</v>
      </c>
      <c r="C69" s="43" t="s">
        <v>487</v>
      </c>
      <c r="D69" s="44">
        <v>117303.0</v>
      </c>
      <c r="E69" s="42">
        <v>340.0</v>
      </c>
      <c r="F69" s="42">
        <v>345.0</v>
      </c>
    </row>
    <row r="70">
      <c r="A70" s="41" t="s">
        <v>488</v>
      </c>
      <c r="B70" s="42">
        <v>69.0</v>
      </c>
      <c r="C70" s="43" t="s">
        <v>489</v>
      </c>
      <c r="D70" s="44">
        <v>1.8687881E7</v>
      </c>
      <c r="E70" s="45">
        <v>107160.0</v>
      </c>
      <c r="F70" s="42">
        <v>174.0</v>
      </c>
    </row>
    <row r="71">
      <c r="A71" s="41" t="s">
        <v>490</v>
      </c>
      <c r="B71" s="42">
        <v>70.0</v>
      </c>
      <c r="C71" s="43" t="s">
        <v>491</v>
      </c>
      <c r="D71" s="44">
        <v>1.5099727E7</v>
      </c>
      <c r="E71" s="45">
        <v>245720.0</v>
      </c>
      <c r="F71" s="42">
        <v>61.0</v>
      </c>
    </row>
    <row r="72">
      <c r="A72" s="41" t="s">
        <v>492</v>
      </c>
      <c r="B72" s="42">
        <v>71.0</v>
      </c>
      <c r="C72" s="43" t="s">
        <v>493</v>
      </c>
      <c r="D72" s="44">
        <v>2249515.0</v>
      </c>
      <c r="E72" s="45">
        <v>28120.0</v>
      </c>
      <c r="F72" s="42">
        <v>80.0</v>
      </c>
    </row>
    <row r="73">
      <c r="A73" s="41" t="s">
        <v>494</v>
      </c>
      <c r="B73" s="42">
        <v>72.0</v>
      </c>
      <c r="C73" s="43" t="s">
        <v>495</v>
      </c>
      <c r="D73" s="44">
        <v>835986.0</v>
      </c>
      <c r="E73" s="45">
        <v>196850.0</v>
      </c>
      <c r="F73" s="42">
        <v>4.0</v>
      </c>
    </row>
    <row r="74">
      <c r="A74" s="41" t="s">
        <v>496</v>
      </c>
      <c r="B74" s="42">
        <v>73.0</v>
      </c>
      <c r="C74" s="43" t="s">
        <v>497</v>
      </c>
      <c r="D74" s="44">
        <v>1.1906095E7</v>
      </c>
      <c r="E74" s="45">
        <v>27560.0</v>
      </c>
      <c r="F74" s="42">
        <v>432.0</v>
      </c>
    </row>
    <row r="75">
      <c r="A75" s="41" t="s">
        <v>498</v>
      </c>
      <c r="B75" s="42">
        <v>74.0</v>
      </c>
      <c r="C75" s="43" t="s">
        <v>499</v>
      </c>
      <c r="D75" s="46">
        <v>501.0</v>
      </c>
      <c r="E75" s="42">
        <v>0.0</v>
      </c>
      <c r="F75" s="45">
        <v>1253.0</v>
      </c>
    </row>
    <row r="76">
      <c r="A76" s="41" t="s">
        <v>500</v>
      </c>
      <c r="B76" s="42">
        <v>75.0</v>
      </c>
      <c r="C76" s="43" t="s">
        <v>501</v>
      </c>
      <c r="D76" s="44">
        <v>1.100585E7</v>
      </c>
      <c r="E76" s="45">
        <v>111890.0</v>
      </c>
      <c r="F76" s="42">
        <v>98.0</v>
      </c>
    </row>
    <row r="77">
      <c r="A77" s="41" t="s">
        <v>502</v>
      </c>
      <c r="B77" s="42">
        <v>76.0</v>
      </c>
      <c r="C77" s="43" t="s">
        <v>503</v>
      </c>
      <c r="D77" s="44">
        <v>9632287.0</v>
      </c>
      <c r="E77" s="45">
        <v>90530.0</v>
      </c>
      <c r="F77" s="42">
        <v>106.0</v>
      </c>
    </row>
    <row r="78">
      <c r="A78" s="41" t="s">
        <v>504</v>
      </c>
      <c r="B78" s="42">
        <v>77.0</v>
      </c>
      <c r="C78" s="43" t="s">
        <v>505</v>
      </c>
      <c r="D78" s="44">
        <v>398266.0</v>
      </c>
      <c r="E78" s="45">
        <v>100250.0</v>
      </c>
      <c r="F78" s="42">
        <v>4.0</v>
      </c>
    </row>
    <row r="79">
      <c r="A79" s="41" t="s">
        <v>506</v>
      </c>
      <c r="B79" s="42">
        <v>78.0</v>
      </c>
      <c r="C79" s="43" t="s">
        <v>507</v>
      </c>
      <c r="D79" s="44">
        <v>1.463865525E9</v>
      </c>
      <c r="E79" s="45">
        <v>2973190.0</v>
      </c>
      <c r="F79" s="42">
        <v>492.0</v>
      </c>
    </row>
    <row r="80">
      <c r="A80" s="41" t="s">
        <v>508</v>
      </c>
      <c r="B80" s="42">
        <v>79.0</v>
      </c>
      <c r="C80" s="43" t="s">
        <v>509</v>
      </c>
      <c r="D80" s="44">
        <v>2.85721236E8</v>
      </c>
      <c r="E80" s="45">
        <v>1811570.0</v>
      </c>
      <c r="F80" s="42">
        <v>158.0</v>
      </c>
    </row>
    <row r="81">
      <c r="A81" s="41" t="s">
        <v>510</v>
      </c>
      <c r="B81" s="42">
        <v>80.0</v>
      </c>
      <c r="C81" s="43" t="s">
        <v>511</v>
      </c>
      <c r="D81" s="44">
        <v>9.2417681E7</v>
      </c>
      <c r="E81" s="45">
        <v>1628550.0</v>
      </c>
      <c r="F81" s="42">
        <v>57.0</v>
      </c>
    </row>
    <row r="82">
      <c r="A82" s="41" t="s">
        <v>512</v>
      </c>
      <c r="B82" s="42">
        <v>81.0</v>
      </c>
      <c r="C82" s="43" t="s">
        <v>513</v>
      </c>
      <c r="D82" s="44">
        <v>4.7020774E7</v>
      </c>
      <c r="E82" s="45">
        <v>434320.0</v>
      </c>
      <c r="F82" s="42">
        <v>108.0</v>
      </c>
    </row>
    <row r="83">
      <c r="A83" s="41" t="s">
        <v>514</v>
      </c>
      <c r="B83" s="42">
        <v>82.0</v>
      </c>
      <c r="C83" s="43" t="s">
        <v>515</v>
      </c>
      <c r="D83" s="44">
        <v>5308039.0</v>
      </c>
      <c r="E83" s="45">
        <v>68890.0</v>
      </c>
      <c r="F83" s="42">
        <v>77.0</v>
      </c>
    </row>
    <row r="84">
      <c r="A84" s="41" t="s">
        <v>516</v>
      </c>
      <c r="B84" s="42">
        <v>83.0</v>
      </c>
      <c r="C84" s="43" t="s">
        <v>517</v>
      </c>
      <c r="D84" s="44">
        <v>9517181.0</v>
      </c>
      <c r="E84" s="45">
        <v>21640.0</v>
      </c>
      <c r="F84" s="42">
        <v>440.0</v>
      </c>
    </row>
    <row r="85">
      <c r="A85" s="41" t="s">
        <v>518</v>
      </c>
      <c r="B85" s="42">
        <v>84.0</v>
      </c>
      <c r="C85" s="43" t="s">
        <v>519</v>
      </c>
      <c r="D85" s="44">
        <v>5.914626E7</v>
      </c>
      <c r="E85" s="45">
        <v>294140.0</v>
      </c>
      <c r="F85" s="42">
        <v>201.0</v>
      </c>
    </row>
    <row r="86">
      <c r="A86" s="41" t="s">
        <v>520</v>
      </c>
      <c r="B86" s="42">
        <v>85.0</v>
      </c>
      <c r="C86" s="43" t="s">
        <v>521</v>
      </c>
      <c r="D86" s="44">
        <v>2837077.0</v>
      </c>
      <c r="E86" s="45">
        <v>10830.0</v>
      </c>
      <c r="F86" s="42">
        <v>262.0</v>
      </c>
    </row>
    <row r="87">
      <c r="A87" s="41" t="s">
        <v>522</v>
      </c>
      <c r="B87" s="42">
        <v>86.0</v>
      </c>
      <c r="C87" s="43" t="s">
        <v>523</v>
      </c>
      <c r="D87" s="44">
        <v>1.23103479E8</v>
      </c>
      <c r="E87" s="45">
        <v>364555.0</v>
      </c>
      <c r="F87" s="42">
        <v>338.0</v>
      </c>
    </row>
    <row r="88">
      <c r="A88" s="41" t="s">
        <v>524</v>
      </c>
      <c r="B88" s="42">
        <v>87.0</v>
      </c>
      <c r="C88" s="43" t="s">
        <v>525</v>
      </c>
      <c r="D88" s="44">
        <v>1.1520684E7</v>
      </c>
      <c r="E88" s="45">
        <v>88780.0</v>
      </c>
      <c r="F88" s="42">
        <v>130.0</v>
      </c>
    </row>
    <row r="89">
      <c r="A89" s="41" t="s">
        <v>526</v>
      </c>
      <c r="B89" s="42">
        <v>88.0</v>
      </c>
      <c r="C89" s="43" t="s">
        <v>527</v>
      </c>
      <c r="D89" s="44">
        <v>2.0843754E7</v>
      </c>
      <c r="E89" s="45">
        <v>2699700.0</v>
      </c>
      <c r="F89" s="42">
        <v>8.0</v>
      </c>
    </row>
    <row r="90">
      <c r="A90" s="41" t="s">
        <v>528</v>
      </c>
      <c r="B90" s="42">
        <v>89.0</v>
      </c>
      <c r="C90" s="43" t="s">
        <v>529</v>
      </c>
      <c r="D90" s="44">
        <v>5.7532493E7</v>
      </c>
      <c r="E90" s="45">
        <v>569140.0</v>
      </c>
      <c r="F90" s="42">
        <v>101.0</v>
      </c>
    </row>
    <row r="91">
      <c r="A91" s="41" t="s">
        <v>530</v>
      </c>
      <c r="B91" s="42">
        <v>90.0</v>
      </c>
      <c r="C91" s="43" t="s">
        <v>531</v>
      </c>
      <c r="D91" s="44">
        <v>136488.0</v>
      </c>
      <c r="E91" s="42">
        <v>810.0</v>
      </c>
      <c r="F91" s="42">
        <v>169.0</v>
      </c>
    </row>
    <row r="92">
      <c r="A92" s="41" t="s">
        <v>532</v>
      </c>
      <c r="B92" s="42">
        <v>91.0</v>
      </c>
      <c r="C92" s="43" t="s">
        <v>533</v>
      </c>
      <c r="D92" s="44">
        <v>5026078.0</v>
      </c>
      <c r="E92" s="45">
        <v>17820.0</v>
      </c>
      <c r="F92" s="42">
        <v>282.0</v>
      </c>
    </row>
    <row r="93">
      <c r="A93" s="41" t="s">
        <v>534</v>
      </c>
      <c r="B93" s="42">
        <v>92.0</v>
      </c>
      <c r="C93" s="43" t="s">
        <v>535</v>
      </c>
      <c r="D93" s="44">
        <v>7295034.0</v>
      </c>
      <c r="E93" s="45">
        <v>191800.0</v>
      </c>
      <c r="F93" s="42">
        <v>38.0</v>
      </c>
    </row>
    <row r="94">
      <c r="A94" s="41" t="s">
        <v>536</v>
      </c>
      <c r="B94" s="42">
        <v>93.0</v>
      </c>
      <c r="C94" s="43" t="s">
        <v>537</v>
      </c>
      <c r="D94" s="44">
        <v>7873046.0</v>
      </c>
      <c r="E94" s="45">
        <v>230800.0</v>
      </c>
      <c r="F94" s="42">
        <v>34.0</v>
      </c>
    </row>
    <row r="95">
      <c r="A95" s="41" t="s">
        <v>538</v>
      </c>
      <c r="B95" s="42">
        <v>94.0</v>
      </c>
      <c r="C95" s="43" t="s">
        <v>539</v>
      </c>
      <c r="D95" s="44">
        <v>1853559.0</v>
      </c>
      <c r="E95" s="45">
        <v>62200.0</v>
      </c>
      <c r="F95" s="42">
        <v>30.0</v>
      </c>
    </row>
    <row r="96">
      <c r="A96" s="41" t="s">
        <v>540</v>
      </c>
      <c r="B96" s="42">
        <v>95.0</v>
      </c>
      <c r="C96" s="43" t="s">
        <v>541</v>
      </c>
      <c r="D96" s="44">
        <v>5849421.0</v>
      </c>
      <c r="E96" s="45">
        <v>10230.0</v>
      </c>
      <c r="F96" s="42">
        <v>572.0</v>
      </c>
    </row>
    <row r="97">
      <c r="A97" s="41" t="s">
        <v>542</v>
      </c>
      <c r="B97" s="42">
        <v>96.0</v>
      </c>
      <c r="C97" s="43" t="s">
        <v>543</v>
      </c>
      <c r="D97" s="44">
        <v>2363325.0</v>
      </c>
      <c r="E97" s="45">
        <v>30360.0</v>
      </c>
      <c r="F97" s="42">
        <v>78.0</v>
      </c>
    </row>
    <row r="98">
      <c r="A98" s="41" t="s">
        <v>544</v>
      </c>
      <c r="B98" s="42">
        <v>97.0</v>
      </c>
      <c r="C98" s="43" t="s">
        <v>545</v>
      </c>
      <c r="D98" s="44">
        <v>5731206.0</v>
      </c>
      <c r="E98" s="45">
        <v>96320.0</v>
      </c>
      <c r="F98" s="42">
        <v>60.0</v>
      </c>
    </row>
    <row r="99">
      <c r="A99" s="41" t="s">
        <v>546</v>
      </c>
      <c r="B99" s="42">
        <v>98.0</v>
      </c>
      <c r="C99" s="43" t="s">
        <v>547</v>
      </c>
      <c r="D99" s="44">
        <v>7458555.0</v>
      </c>
      <c r="E99" s="45">
        <v>1759540.0</v>
      </c>
      <c r="F99" s="42">
        <v>4.0</v>
      </c>
    </row>
    <row r="100">
      <c r="A100" s="41" t="s">
        <v>548</v>
      </c>
      <c r="B100" s="42">
        <v>99.0</v>
      </c>
      <c r="C100" s="43" t="s">
        <v>549</v>
      </c>
      <c r="D100" s="44">
        <v>40128.0</v>
      </c>
      <c r="E100" s="42">
        <v>160.0</v>
      </c>
      <c r="F100" s="42">
        <v>251.0</v>
      </c>
    </row>
    <row r="101">
      <c r="A101" s="41" t="s">
        <v>550</v>
      </c>
      <c r="B101" s="42">
        <v>100.0</v>
      </c>
      <c r="C101" s="43" t="s">
        <v>551</v>
      </c>
      <c r="D101" s="44">
        <v>2830144.0</v>
      </c>
      <c r="E101" s="45">
        <v>62674.0</v>
      </c>
      <c r="F101" s="42">
        <v>45.0</v>
      </c>
    </row>
    <row r="102">
      <c r="A102" s="41" t="s">
        <v>552</v>
      </c>
      <c r="B102" s="42">
        <v>101.0</v>
      </c>
      <c r="C102" s="43" t="s">
        <v>553</v>
      </c>
      <c r="D102" s="44">
        <v>680453.0</v>
      </c>
      <c r="E102" s="45">
        <v>2590.0</v>
      </c>
      <c r="F102" s="42">
        <v>263.0</v>
      </c>
    </row>
    <row r="103">
      <c r="A103" s="41" t="s">
        <v>554</v>
      </c>
      <c r="B103" s="42">
        <v>102.0</v>
      </c>
      <c r="C103" s="43" t="s">
        <v>555</v>
      </c>
      <c r="D103" s="44">
        <v>3.2740678E7</v>
      </c>
      <c r="E103" s="45">
        <v>581795.0</v>
      </c>
      <c r="F103" s="42">
        <v>56.0</v>
      </c>
    </row>
    <row r="104">
      <c r="A104" s="41" t="s">
        <v>556</v>
      </c>
      <c r="B104" s="42">
        <v>103.0</v>
      </c>
      <c r="C104" s="43" t="s">
        <v>557</v>
      </c>
      <c r="D104" s="44">
        <v>2.221612E7</v>
      </c>
      <c r="E104" s="45">
        <v>94280.0</v>
      </c>
      <c r="F104" s="42">
        <v>236.0</v>
      </c>
    </row>
    <row r="105">
      <c r="A105" s="41" t="s">
        <v>558</v>
      </c>
      <c r="B105" s="42">
        <v>104.0</v>
      </c>
      <c r="C105" s="43" t="s">
        <v>559</v>
      </c>
      <c r="D105" s="44">
        <v>3.5977838E7</v>
      </c>
      <c r="E105" s="45">
        <v>328550.0</v>
      </c>
      <c r="F105" s="42">
        <v>110.0</v>
      </c>
    </row>
    <row r="106">
      <c r="A106" s="41" t="s">
        <v>560</v>
      </c>
      <c r="B106" s="42">
        <v>105.0</v>
      </c>
      <c r="C106" s="43" t="s">
        <v>561</v>
      </c>
      <c r="D106" s="44">
        <v>529676.0</v>
      </c>
      <c r="E106" s="42">
        <v>300.0</v>
      </c>
      <c r="F106" s="45">
        <v>1766.0</v>
      </c>
    </row>
    <row r="107">
      <c r="A107" s="41" t="s">
        <v>562</v>
      </c>
      <c r="B107" s="42">
        <v>106.0</v>
      </c>
      <c r="C107" s="43" t="s">
        <v>563</v>
      </c>
      <c r="D107" s="44">
        <v>2.5198821E7</v>
      </c>
      <c r="E107" s="45">
        <v>1220190.0</v>
      </c>
      <c r="F107" s="42">
        <v>21.0</v>
      </c>
    </row>
    <row r="108">
      <c r="A108" s="41" t="s">
        <v>564</v>
      </c>
      <c r="B108" s="42">
        <v>107.0</v>
      </c>
      <c r="C108" s="43" t="s">
        <v>565</v>
      </c>
      <c r="D108" s="44">
        <v>545405.0</v>
      </c>
      <c r="E108" s="42">
        <v>320.0</v>
      </c>
      <c r="F108" s="45">
        <v>1704.0</v>
      </c>
    </row>
    <row r="109">
      <c r="A109" s="41" t="s">
        <v>566</v>
      </c>
      <c r="B109" s="42">
        <v>108.0</v>
      </c>
      <c r="C109" s="43" t="s">
        <v>567</v>
      </c>
      <c r="D109" s="44">
        <v>36282.0</v>
      </c>
      <c r="E109" s="42">
        <v>180.0</v>
      </c>
      <c r="F109" s="42">
        <v>202.0</v>
      </c>
    </row>
    <row r="110">
      <c r="A110" s="41" t="s">
        <v>568</v>
      </c>
      <c r="B110" s="42">
        <v>109.0</v>
      </c>
      <c r="C110" s="43" t="s">
        <v>569</v>
      </c>
      <c r="D110" s="44">
        <v>5315065.0</v>
      </c>
      <c r="E110" s="45">
        <v>1030700.0</v>
      </c>
      <c r="F110" s="42">
        <v>5.0</v>
      </c>
    </row>
    <row r="111">
      <c r="A111" s="41" t="s">
        <v>570</v>
      </c>
      <c r="B111" s="42">
        <v>110.0</v>
      </c>
      <c r="C111" s="43" t="s">
        <v>571</v>
      </c>
      <c r="D111" s="44">
        <v>1268280.0</v>
      </c>
      <c r="E111" s="45">
        <v>2030.0</v>
      </c>
      <c r="F111" s="42">
        <v>625.0</v>
      </c>
    </row>
    <row r="112">
      <c r="A112" s="41" t="s">
        <v>572</v>
      </c>
      <c r="B112" s="42">
        <v>111.0</v>
      </c>
      <c r="C112" s="43" t="s">
        <v>573</v>
      </c>
      <c r="D112" s="44">
        <v>1.319469E8</v>
      </c>
      <c r="E112" s="45">
        <v>1943950.0</v>
      </c>
      <c r="F112" s="42">
        <v>68.0</v>
      </c>
    </row>
    <row r="113">
      <c r="A113" s="41" t="s">
        <v>574</v>
      </c>
      <c r="B113" s="42">
        <v>112.0</v>
      </c>
      <c r="C113" s="43" t="s">
        <v>575</v>
      </c>
      <c r="D113" s="44">
        <v>113683.0</v>
      </c>
      <c r="E113" s="42">
        <v>700.0</v>
      </c>
      <c r="F113" s="42">
        <v>162.0</v>
      </c>
    </row>
    <row r="114">
      <c r="A114" s="41" t="s">
        <v>576</v>
      </c>
      <c r="B114" s="42">
        <v>113.0</v>
      </c>
      <c r="C114" s="43" t="s">
        <v>577</v>
      </c>
      <c r="D114" s="44">
        <v>2996106.0</v>
      </c>
      <c r="E114" s="45">
        <v>32850.0</v>
      </c>
      <c r="F114" s="42">
        <v>91.0</v>
      </c>
    </row>
    <row r="115">
      <c r="A115" s="41" t="s">
        <v>578</v>
      </c>
      <c r="B115" s="42">
        <v>114.0</v>
      </c>
      <c r="C115" s="43" t="s">
        <v>579</v>
      </c>
      <c r="D115" s="44">
        <v>38341.0</v>
      </c>
      <c r="E115" s="42">
        <v>1.0</v>
      </c>
      <c r="F115" s="45">
        <v>25732.0</v>
      </c>
    </row>
    <row r="116">
      <c r="A116" s="41" t="s">
        <v>580</v>
      </c>
      <c r="B116" s="42">
        <v>115.0</v>
      </c>
      <c r="C116" s="43" t="s">
        <v>581</v>
      </c>
      <c r="D116" s="44">
        <v>3517100.0</v>
      </c>
      <c r="E116" s="45">
        <v>1553560.0</v>
      </c>
      <c r="F116" s="42">
        <v>2.0</v>
      </c>
    </row>
    <row r="117">
      <c r="A117" s="41" t="s">
        <v>582</v>
      </c>
      <c r="B117" s="42">
        <v>116.0</v>
      </c>
      <c r="C117" s="43" t="s">
        <v>583</v>
      </c>
      <c r="D117" s="44">
        <v>632729.0</v>
      </c>
      <c r="E117" s="45">
        <v>13450.0</v>
      </c>
      <c r="F117" s="42">
        <v>47.0</v>
      </c>
    </row>
    <row r="118">
      <c r="A118" s="41" t="s">
        <v>584</v>
      </c>
      <c r="B118" s="42">
        <v>117.0</v>
      </c>
      <c r="C118" s="43" t="s">
        <v>585</v>
      </c>
      <c r="D118" s="44">
        <v>3.843077E7</v>
      </c>
      <c r="E118" s="45">
        <v>446300.0</v>
      </c>
      <c r="F118" s="42">
        <v>86.0</v>
      </c>
    </row>
    <row r="119">
      <c r="A119" s="41" t="s">
        <v>586</v>
      </c>
      <c r="B119" s="42">
        <v>118.0</v>
      </c>
      <c r="C119" s="43" t="s">
        <v>587</v>
      </c>
      <c r="D119" s="44">
        <v>3.5631653E7</v>
      </c>
      <c r="E119" s="45">
        <v>786380.0</v>
      </c>
      <c r="F119" s="42">
        <v>45.0</v>
      </c>
    </row>
    <row r="120">
      <c r="A120" s="41" t="s">
        <v>588</v>
      </c>
      <c r="B120" s="42">
        <v>119.0</v>
      </c>
      <c r="C120" s="43" t="s">
        <v>589</v>
      </c>
      <c r="D120" s="44">
        <v>5.4850648E7</v>
      </c>
      <c r="E120" s="45">
        <v>653290.0</v>
      </c>
      <c r="F120" s="42">
        <v>84.0</v>
      </c>
    </row>
    <row r="121">
      <c r="A121" s="41" t="s">
        <v>590</v>
      </c>
      <c r="B121" s="42">
        <v>120.0</v>
      </c>
      <c r="C121" s="43" t="s">
        <v>591</v>
      </c>
      <c r="D121" s="44">
        <v>3092816.0</v>
      </c>
      <c r="E121" s="45">
        <v>823290.0</v>
      </c>
      <c r="F121" s="42">
        <v>4.0</v>
      </c>
    </row>
    <row r="122">
      <c r="A122" s="41" t="s">
        <v>592</v>
      </c>
      <c r="B122" s="42">
        <v>121.0</v>
      </c>
      <c r="C122" s="43" t="s">
        <v>593</v>
      </c>
      <c r="D122" s="44">
        <v>12025.0</v>
      </c>
      <c r="E122" s="42">
        <v>20.0</v>
      </c>
      <c r="F122" s="42">
        <v>601.0</v>
      </c>
    </row>
    <row r="123">
      <c r="A123" s="41" t="s">
        <v>594</v>
      </c>
      <c r="B123" s="42">
        <v>122.0</v>
      </c>
      <c r="C123" s="43" t="s">
        <v>595</v>
      </c>
      <c r="D123" s="44">
        <v>2.9618118E7</v>
      </c>
      <c r="E123" s="45">
        <v>143350.0</v>
      </c>
      <c r="F123" s="42">
        <v>207.0</v>
      </c>
    </row>
    <row r="124">
      <c r="A124" s="41" t="s">
        <v>596</v>
      </c>
      <c r="B124" s="42">
        <v>123.0</v>
      </c>
      <c r="C124" s="43" t="s">
        <v>597</v>
      </c>
      <c r="D124" s="44">
        <v>1.8346819E7</v>
      </c>
      <c r="E124" s="45">
        <v>33720.0</v>
      </c>
      <c r="F124" s="42">
        <v>544.0</v>
      </c>
    </row>
    <row r="125">
      <c r="A125" s="41" t="s">
        <v>598</v>
      </c>
      <c r="B125" s="42">
        <v>124.0</v>
      </c>
      <c r="C125" s="43" t="s">
        <v>599</v>
      </c>
      <c r="D125" s="44">
        <v>5251899.0</v>
      </c>
      <c r="E125" s="45">
        <v>263310.0</v>
      </c>
      <c r="F125" s="42">
        <v>20.0</v>
      </c>
    </row>
    <row r="126">
      <c r="A126" s="41" t="s">
        <v>600</v>
      </c>
      <c r="B126" s="42">
        <v>125.0</v>
      </c>
      <c r="C126" s="43" t="s">
        <v>601</v>
      </c>
      <c r="D126" s="44">
        <v>7007502.0</v>
      </c>
      <c r="E126" s="45">
        <v>120340.0</v>
      </c>
      <c r="F126" s="42">
        <v>58.0</v>
      </c>
    </row>
    <row r="127">
      <c r="A127" s="41" t="s">
        <v>602</v>
      </c>
      <c r="B127" s="42">
        <v>126.0</v>
      </c>
      <c r="C127" s="43" t="s">
        <v>603</v>
      </c>
      <c r="D127" s="44">
        <v>2.7917831E7</v>
      </c>
      <c r="E127" s="45">
        <v>1266700.0</v>
      </c>
      <c r="F127" s="42">
        <v>22.0</v>
      </c>
    </row>
    <row r="128">
      <c r="A128" s="41" t="s">
        <v>604</v>
      </c>
      <c r="B128" s="42">
        <v>127.0</v>
      </c>
      <c r="C128" s="43" t="s">
        <v>605</v>
      </c>
      <c r="D128" s="44">
        <v>2.37527782E8</v>
      </c>
      <c r="E128" s="45">
        <v>910770.0</v>
      </c>
      <c r="F128" s="42">
        <v>261.0</v>
      </c>
    </row>
    <row r="129">
      <c r="A129" s="41" t="s">
        <v>606</v>
      </c>
      <c r="B129" s="42">
        <v>128.0</v>
      </c>
      <c r="C129" s="43" t="s">
        <v>607</v>
      </c>
      <c r="D129" s="44">
        <v>2.6571036E7</v>
      </c>
      <c r="E129" s="45">
        <v>120410.0</v>
      </c>
      <c r="F129" s="42">
        <v>221.0</v>
      </c>
    </row>
    <row r="130">
      <c r="A130" s="41" t="s">
        <v>608</v>
      </c>
      <c r="B130" s="42">
        <v>129.0</v>
      </c>
      <c r="C130" s="43" t="s">
        <v>609</v>
      </c>
      <c r="D130" s="44">
        <v>1813791.0</v>
      </c>
      <c r="E130" s="45">
        <v>25220.0</v>
      </c>
      <c r="F130" s="42">
        <v>72.0</v>
      </c>
    </row>
    <row r="131">
      <c r="A131" s="41" t="s">
        <v>610</v>
      </c>
      <c r="B131" s="42">
        <v>130.0</v>
      </c>
      <c r="C131" s="43" t="s">
        <v>611</v>
      </c>
      <c r="D131" s="44">
        <v>5623071.0</v>
      </c>
      <c r="E131" s="45">
        <v>365268.0</v>
      </c>
      <c r="F131" s="42">
        <v>15.0</v>
      </c>
    </row>
    <row r="132">
      <c r="A132" s="41" t="s">
        <v>612</v>
      </c>
      <c r="B132" s="42">
        <v>131.0</v>
      </c>
      <c r="C132" s="43" t="s">
        <v>613</v>
      </c>
      <c r="D132" s="44">
        <v>5494691.0</v>
      </c>
      <c r="E132" s="45">
        <v>309500.0</v>
      </c>
      <c r="F132" s="42">
        <v>18.0</v>
      </c>
    </row>
    <row r="133">
      <c r="A133" s="41" t="s">
        <v>614</v>
      </c>
      <c r="B133" s="42">
        <v>132.0</v>
      </c>
      <c r="C133" s="43" t="s">
        <v>615</v>
      </c>
      <c r="D133" s="44">
        <v>2.55219554E8</v>
      </c>
      <c r="E133" s="45">
        <v>770880.0</v>
      </c>
      <c r="F133" s="42">
        <v>331.0</v>
      </c>
    </row>
    <row r="134">
      <c r="A134" s="41" t="s">
        <v>616</v>
      </c>
      <c r="B134" s="42">
        <v>133.0</v>
      </c>
      <c r="C134" s="43" t="s">
        <v>617</v>
      </c>
      <c r="D134" s="44">
        <v>17663.0</v>
      </c>
      <c r="E134" s="42">
        <v>460.0</v>
      </c>
      <c r="F134" s="42">
        <v>38.0</v>
      </c>
    </row>
    <row r="135">
      <c r="A135" s="41" t="s">
        <v>618</v>
      </c>
      <c r="B135" s="42">
        <v>134.0</v>
      </c>
      <c r="C135" s="43" t="s">
        <v>619</v>
      </c>
      <c r="D135" s="44">
        <v>5589623.0</v>
      </c>
      <c r="E135" s="45">
        <v>6020.0</v>
      </c>
      <c r="F135" s="42">
        <v>929.0</v>
      </c>
    </row>
    <row r="136">
      <c r="A136" s="41" t="s">
        <v>620</v>
      </c>
      <c r="B136" s="42">
        <v>135.0</v>
      </c>
      <c r="C136" s="43" t="s">
        <v>621</v>
      </c>
      <c r="D136" s="44">
        <v>4571189.0</v>
      </c>
      <c r="E136" s="45">
        <v>74340.0</v>
      </c>
      <c r="F136" s="42">
        <v>61.0</v>
      </c>
    </row>
    <row r="137">
      <c r="A137" s="41" t="s">
        <v>622</v>
      </c>
      <c r="B137" s="42">
        <v>136.0</v>
      </c>
      <c r="C137" s="43" t="s">
        <v>623</v>
      </c>
      <c r="D137" s="44">
        <v>1.0762817E7</v>
      </c>
      <c r="E137" s="45">
        <v>452860.0</v>
      </c>
      <c r="F137" s="42">
        <v>24.0</v>
      </c>
    </row>
    <row r="138">
      <c r="A138" s="41" t="s">
        <v>624</v>
      </c>
      <c r="B138" s="42">
        <v>137.0</v>
      </c>
      <c r="C138" s="43" t="s">
        <v>625</v>
      </c>
      <c r="D138" s="44">
        <v>7013078.0</v>
      </c>
      <c r="E138" s="45">
        <v>397300.0</v>
      </c>
      <c r="F138" s="42">
        <v>18.0</v>
      </c>
    </row>
    <row r="139">
      <c r="A139" s="41" t="s">
        <v>626</v>
      </c>
      <c r="B139" s="42">
        <v>138.0</v>
      </c>
      <c r="C139" s="43" t="s">
        <v>627</v>
      </c>
      <c r="D139" s="44">
        <v>3.4576665E7</v>
      </c>
      <c r="E139" s="45">
        <v>1280000.0</v>
      </c>
      <c r="F139" s="42">
        <v>27.0</v>
      </c>
    </row>
    <row r="140">
      <c r="A140" s="41" t="s">
        <v>628</v>
      </c>
      <c r="B140" s="42">
        <v>139.0</v>
      </c>
      <c r="C140" s="43" t="s">
        <v>629</v>
      </c>
      <c r="D140" s="44">
        <v>1.16786962E8</v>
      </c>
      <c r="E140" s="45">
        <v>298170.0</v>
      </c>
      <c r="F140" s="42">
        <v>392.0</v>
      </c>
    </row>
    <row r="141">
      <c r="A141" s="41" t="s">
        <v>630</v>
      </c>
      <c r="B141" s="42">
        <v>140.0</v>
      </c>
      <c r="C141" s="43" t="s">
        <v>631</v>
      </c>
      <c r="D141" s="44">
        <v>3.814091E7</v>
      </c>
      <c r="E141" s="45">
        <v>306230.0</v>
      </c>
      <c r="F141" s="42">
        <v>125.0</v>
      </c>
    </row>
    <row r="142">
      <c r="A142" s="41" t="s">
        <v>632</v>
      </c>
      <c r="B142" s="42">
        <v>141.0</v>
      </c>
      <c r="C142" s="43" t="s">
        <v>633</v>
      </c>
      <c r="D142" s="44">
        <v>1.0411834E7</v>
      </c>
      <c r="E142" s="45">
        <v>91590.0</v>
      </c>
      <c r="F142" s="42">
        <v>114.0</v>
      </c>
    </row>
    <row r="143">
      <c r="A143" s="41" t="s">
        <v>634</v>
      </c>
      <c r="B143" s="42">
        <v>142.0</v>
      </c>
      <c r="C143" s="43" t="s">
        <v>635</v>
      </c>
      <c r="D143" s="44">
        <v>3115889.0</v>
      </c>
      <c r="E143" s="45">
        <v>11610.0</v>
      </c>
      <c r="F143" s="42">
        <v>268.0</v>
      </c>
    </row>
    <row r="144">
      <c r="A144" s="41" t="s">
        <v>636</v>
      </c>
      <c r="B144" s="42">
        <v>143.0</v>
      </c>
      <c r="C144" s="43" t="s">
        <v>637</v>
      </c>
      <c r="D144" s="44">
        <v>1.890865E7</v>
      </c>
      <c r="E144" s="45">
        <v>230170.0</v>
      </c>
      <c r="F144" s="42">
        <v>82.0</v>
      </c>
    </row>
    <row r="145">
      <c r="A145" s="41" t="s">
        <v>638</v>
      </c>
      <c r="B145" s="42">
        <v>144.0</v>
      </c>
      <c r="C145" s="43" t="s">
        <v>639</v>
      </c>
      <c r="D145" s="44">
        <v>1.43997393E8</v>
      </c>
      <c r="E145" s="45">
        <v>1.637687E7</v>
      </c>
      <c r="F145" s="42">
        <v>9.0</v>
      </c>
    </row>
    <row r="146">
      <c r="A146" s="41" t="s">
        <v>640</v>
      </c>
      <c r="B146" s="42">
        <v>145.0</v>
      </c>
      <c r="C146" s="43" t="s">
        <v>641</v>
      </c>
      <c r="D146" s="44">
        <v>1.4569341E7</v>
      </c>
      <c r="E146" s="45">
        <v>24670.0</v>
      </c>
      <c r="F146" s="42">
        <v>591.0</v>
      </c>
    </row>
    <row r="147">
      <c r="A147" s="41" t="s">
        <v>642</v>
      </c>
      <c r="B147" s="42">
        <v>146.0</v>
      </c>
      <c r="C147" s="43" t="s">
        <v>643</v>
      </c>
      <c r="D147" s="44">
        <v>46922.0</v>
      </c>
      <c r="E147" s="42">
        <v>260.0</v>
      </c>
      <c r="F147" s="42">
        <v>180.0</v>
      </c>
    </row>
    <row r="148">
      <c r="A148" s="41" t="s">
        <v>644</v>
      </c>
      <c r="B148" s="42">
        <v>147.0</v>
      </c>
      <c r="C148" s="43" t="s">
        <v>645</v>
      </c>
      <c r="D148" s="44">
        <v>180149.0</v>
      </c>
      <c r="E148" s="42">
        <v>610.0</v>
      </c>
      <c r="F148" s="42">
        <v>295.0</v>
      </c>
    </row>
    <row r="149">
      <c r="A149" s="41" t="s">
        <v>646</v>
      </c>
      <c r="B149" s="42">
        <v>148.0</v>
      </c>
      <c r="C149" s="43" t="s">
        <v>647</v>
      </c>
      <c r="D149" s="44">
        <v>99924.0</v>
      </c>
      <c r="E149" s="42">
        <v>390.0</v>
      </c>
      <c r="F149" s="42">
        <v>256.0</v>
      </c>
    </row>
    <row r="150">
      <c r="A150" s="41" t="s">
        <v>648</v>
      </c>
      <c r="B150" s="42">
        <v>149.0</v>
      </c>
      <c r="C150" s="43" t="s">
        <v>649</v>
      </c>
      <c r="D150" s="44">
        <v>219306.0</v>
      </c>
      <c r="E150" s="45">
        <v>2830.0</v>
      </c>
      <c r="F150" s="42">
        <v>77.0</v>
      </c>
    </row>
    <row r="151">
      <c r="A151" s="41" t="s">
        <v>650</v>
      </c>
      <c r="B151" s="42">
        <v>150.0</v>
      </c>
      <c r="C151" s="43" t="s">
        <v>651</v>
      </c>
      <c r="D151" s="44">
        <v>33572.0</v>
      </c>
      <c r="E151" s="42">
        <v>60.0</v>
      </c>
      <c r="F151" s="42">
        <v>560.0</v>
      </c>
    </row>
    <row r="152">
      <c r="A152" s="41" t="s">
        <v>652</v>
      </c>
      <c r="B152" s="42">
        <v>151.0</v>
      </c>
      <c r="C152" s="43" t="s">
        <v>653</v>
      </c>
      <c r="D152" s="44">
        <v>240254.0</v>
      </c>
      <c r="E152" s="42">
        <v>960.0</v>
      </c>
      <c r="F152" s="42">
        <v>250.0</v>
      </c>
    </row>
    <row r="153">
      <c r="A153" s="41" t="s">
        <v>654</v>
      </c>
      <c r="B153" s="42">
        <v>152.0</v>
      </c>
      <c r="C153" s="43" t="s">
        <v>655</v>
      </c>
      <c r="D153" s="44">
        <v>3.4566328E7</v>
      </c>
      <c r="E153" s="45">
        <v>2149690.0</v>
      </c>
      <c r="F153" s="42">
        <v>16.0</v>
      </c>
    </row>
    <row r="154">
      <c r="A154" s="41" t="s">
        <v>656</v>
      </c>
      <c r="B154" s="42">
        <v>153.0</v>
      </c>
      <c r="C154" s="43" t="s">
        <v>657</v>
      </c>
      <c r="D154" s="44">
        <v>1.8931966E7</v>
      </c>
      <c r="E154" s="45">
        <v>192530.0</v>
      </c>
      <c r="F154" s="42">
        <v>98.0</v>
      </c>
    </row>
    <row r="155">
      <c r="A155" s="41" t="s">
        <v>658</v>
      </c>
      <c r="B155" s="42">
        <v>154.0</v>
      </c>
      <c r="C155" s="43" t="s">
        <v>659</v>
      </c>
      <c r="D155" s="44">
        <v>6689039.0</v>
      </c>
      <c r="E155" s="45">
        <v>87460.0</v>
      </c>
      <c r="F155" s="42">
        <v>76.0</v>
      </c>
    </row>
    <row r="156">
      <c r="A156" s="41" t="s">
        <v>660</v>
      </c>
      <c r="B156" s="42">
        <v>155.0</v>
      </c>
      <c r="C156" s="43" t="s">
        <v>661</v>
      </c>
      <c r="D156" s="44">
        <v>132779.0</v>
      </c>
      <c r="E156" s="42">
        <v>460.0</v>
      </c>
      <c r="F156" s="42">
        <v>289.0</v>
      </c>
    </row>
    <row r="157">
      <c r="A157" s="41" t="s">
        <v>662</v>
      </c>
      <c r="B157" s="42">
        <v>156.0</v>
      </c>
      <c r="C157" s="43" t="s">
        <v>663</v>
      </c>
      <c r="D157" s="44">
        <v>8819794.0</v>
      </c>
      <c r="E157" s="45">
        <v>72180.0</v>
      </c>
      <c r="F157" s="42">
        <v>122.0</v>
      </c>
    </row>
    <row r="158">
      <c r="A158" s="41" t="s">
        <v>664</v>
      </c>
      <c r="B158" s="42">
        <v>157.0</v>
      </c>
      <c r="C158" s="43" t="s">
        <v>665</v>
      </c>
      <c r="D158" s="44">
        <v>5870750.0</v>
      </c>
      <c r="E158" s="42">
        <v>700.0</v>
      </c>
      <c r="F158" s="45">
        <v>8387.0</v>
      </c>
    </row>
    <row r="159">
      <c r="A159" s="41" t="s">
        <v>666</v>
      </c>
      <c r="B159" s="42">
        <v>158.0</v>
      </c>
      <c r="C159" s="43" t="s">
        <v>667</v>
      </c>
      <c r="D159" s="44">
        <v>5474881.0</v>
      </c>
      <c r="E159" s="45">
        <v>48088.0</v>
      </c>
      <c r="F159" s="42">
        <v>114.0</v>
      </c>
    </row>
    <row r="160">
      <c r="A160" s="41" t="s">
        <v>668</v>
      </c>
      <c r="B160" s="42">
        <v>159.0</v>
      </c>
      <c r="C160" s="43" t="s">
        <v>669</v>
      </c>
      <c r="D160" s="44">
        <v>2117072.0</v>
      </c>
      <c r="E160" s="45">
        <v>20140.0</v>
      </c>
      <c r="F160" s="42">
        <v>105.0</v>
      </c>
    </row>
    <row r="161">
      <c r="A161" s="41" t="s">
        <v>670</v>
      </c>
      <c r="B161" s="42">
        <v>160.0</v>
      </c>
      <c r="C161" s="43" t="s">
        <v>671</v>
      </c>
      <c r="D161" s="44">
        <v>838645.0</v>
      </c>
      <c r="E161" s="45">
        <v>27990.0</v>
      </c>
      <c r="F161" s="42">
        <v>30.0</v>
      </c>
    </row>
    <row r="162">
      <c r="A162" s="41" t="s">
        <v>672</v>
      </c>
      <c r="B162" s="42">
        <v>161.0</v>
      </c>
      <c r="C162" s="43" t="s">
        <v>673</v>
      </c>
      <c r="D162" s="44">
        <v>1.9654739E7</v>
      </c>
      <c r="E162" s="45">
        <v>627340.0</v>
      </c>
      <c r="F162" s="42">
        <v>31.0</v>
      </c>
    </row>
    <row r="163">
      <c r="A163" s="41" t="s">
        <v>674</v>
      </c>
      <c r="B163" s="42">
        <v>162.0</v>
      </c>
      <c r="C163" s="43" t="s">
        <v>675</v>
      </c>
      <c r="D163" s="44">
        <v>6.4747319E7</v>
      </c>
      <c r="E163" s="45">
        <v>1213090.0</v>
      </c>
      <c r="F163" s="42">
        <v>53.0</v>
      </c>
    </row>
    <row r="164">
      <c r="A164" s="41" t="s">
        <v>676</v>
      </c>
      <c r="B164" s="42">
        <v>163.0</v>
      </c>
      <c r="C164" s="43" t="s">
        <v>677</v>
      </c>
      <c r="D164" s="44">
        <v>5.1667029E7</v>
      </c>
      <c r="E164" s="45">
        <v>97230.0</v>
      </c>
      <c r="F164" s="42">
        <v>531.0</v>
      </c>
    </row>
    <row r="165">
      <c r="A165" s="41" t="s">
        <v>678</v>
      </c>
      <c r="B165" s="42">
        <v>164.0</v>
      </c>
      <c r="C165" s="43" t="s">
        <v>679</v>
      </c>
      <c r="D165" s="44">
        <v>1.2188788E7</v>
      </c>
      <c r="E165" s="45">
        <v>610952.0</v>
      </c>
      <c r="F165" s="42">
        <v>20.0</v>
      </c>
    </row>
    <row r="166">
      <c r="A166" s="41" t="s">
        <v>680</v>
      </c>
      <c r="B166" s="42">
        <v>165.0</v>
      </c>
      <c r="C166" s="43" t="s">
        <v>681</v>
      </c>
      <c r="D166" s="44">
        <v>4.7889958E7</v>
      </c>
      <c r="E166" s="45">
        <v>498800.0</v>
      </c>
      <c r="F166" s="42">
        <v>96.0</v>
      </c>
    </row>
    <row r="167">
      <c r="A167" s="41" t="s">
        <v>682</v>
      </c>
      <c r="B167" s="42">
        <v>166.0</v>
      </c>
      <c r="C167" s="43" t="s">
        <v>683</v>
      </c>
      <c r="D167" s="44">
        <v>2.322947E7</v>
      </c>
      <c r="E167" s="45">
        <v>62710.0</v>
      </c>
      <c r="F167" s="42">
        <v>370.0</v>
      </c>
    </row>
    <row r="168">
      <c r="A168" s="41" t="s">
        <v>684</v>
      </c>
      <c r="B168" s="42">
        <v>167.0</v>
      </c>
      <c r="C168" s="43" t="s">
        <v>685</v>
      </c>
      <c r="D168" s="44">
        <v>5.1662147E7</v>
      </c>
      <c r="E168" s="45">
        <v>1765048.0</v>
      </c>
      <c r="F168" s="42">
        <v>29.0</v>
      </c>
    </row>
    <row r="169">
      <c r="A169" s="41" t="s">
        <v>686</v>
      </c>
      <c r="B169" s="42">
        <v>168.0</v>
      </c>
      <c r="C169" s="43" t="s">
        <v>687</v>
      </c>
      <c r="D169" s="44">
        <v>639850.0</v>
      </c>
      <c r="E169" s="45">
        <v>156000.0</v>
      </c>
      <c r="F169" s="42">
        <v>4.0</v>
      </c>
    </row>
    <row r="170">
      <c r="A170" s="41" t="s">
        <v>688</v>
      </c>
      <c r="B170" s="42">
        <v>169.0</v>
      </c>
      <c r="C170" s="43" t="s">
        <v>689</v>
      </c>
      <c r="D170" s="44">
        <v>1.0656633E7</v>
      </c>
      <c r="E170" s="45">
        <v>410340.0</v>
      </c>
      <c r="F170" s="42">
        <v>26.0</v>
      </c>
    </row>
    <row r="171">
      <c r="A171" s="41" t="s">
        <v>690</v>
      </c>
      <c r="B171" s="42">
        <v>170.0</v>
      </c>
      <c r="C171" s="43" t="s">
        <v>691</v>
      </c>
      <c r="D171" s="44">
        <v>8967407.0</v>
      </c>
      <c r="E171" s="45">
        <v>39516.0</v>
      </c>
      <c r="F171" s="42">
        <v>227.0</v>
      </c>
    </row>
    <row r="172">
      <c r="A172" s="41" t="s">
        <v>692</v>
      </c>
      <c r="B172" s="42">
        <v>171.0</v>
      </c>
      <c r="C172" s="43" t="s">
        <v>693</v>
      </c>
      <c r="D172" s="44">
        <v>2.5620427E7</v>
      </c>
      <c r="E172" s="45">
        <v>183630.0</v>
      </c>
      <c r="F172" s="42">
        <v>140.0</v>
      </c>
    </row>
    <row r="173">
      <c r="A173" s="41" t="s">
        <v>694</v>
      </c>
      <c r="B173" s="42">
        <v>172.0</v>
      </c>
      <c r="C173" s="43" t="s">
        <v>695</v>
      </c>
      <c r="D173" s="44">
        <v>1.0786734E7</v>
      </c>
      <c r="E173" s="45">
        <v>139960.0</v>
      </c>
      <c r="F173" s="42">
        <v>77.0</v>
      </c>
    </row>
    <row r="174">
      <c r="A174" s="41" t="s">
        <v>696</v>
      </c>
      <c r="B174" s="42">
        <v>173.0</v>
      </c>
      <c r="C174" s="43" t="s">
        <v>697</v>
      </c>
      <c r="D174" s="44">
        <v>7.0545865E7</v>
      </c>
      <c r="E174" s="45">
        <v>885800.0</v>
      </c>
      <c r="F174" s="42">
        <v>80.0</v>
      </c>
    </row>
    <row r="175">
      <c r="A175" s="41" t="s">
        <v>698</v>
      </c>
      <c r="B175" s="42">
        <v>174.0</v>
      </c>
      <c r="C175" s="43" t="s">
        <v>699</v>
      </c>
      <c r="D175" s="44">
        <v>7.1619863E7</v>
      </c>
      <c r="E175" s="45">
        <v>510890.0</v>
      </c>
      <c r="F175" s="42">
        <v>140.0</v>
      </c>
    </row>
    <row r="176">
      <c r="A176" s="41" t="s">
        <v>700</v>
      </c>
      <c r="B176" s="42">
        <v>175.0</v>
      </c>
      <c r="C176" s="43" t="s">
        <v>701</v>
      </c>
      <c r="D176" s="44">
        <v>1418517.0</v>
      </c>
      <c r="E176" s="45">
        <v>14870.0</v>
      </c>
      <c r="F176" s="42">
        <v>95.0</v>
      </c>
    </row>
    <row r="177">
      <c r="A177" s="41" t="s">
        <v>702</v>
      </c>
      <c r="B177" s="42">
        <v>176.0</v>
      </c>
      <c r="C177" s="43" t="s">
        <v>703</v>
      </c>
      <c r="D177" s="44">
        <v>9721608.0</v>
      </c>
      <c r="E177" s="45">
        <v>54390.0</v>
      </c>
      <c r="F177" s="42">
        <v>179.0</v>
      </c>
    </row>
    <row r="178">
      <c r="A178" s="41" t="s">
        <v>704</v>
      </c>
      <c r="B178" s="42">
        <v>177.0</v>
      </c>
      <c r="C178" s="43" t="s">
        <v>705</v>
      </c>
      <c r="D178" s="44">
        <v>103742.0</v>
      </c>
      <c r="E178" s="42">
        <v>720.0</v>
      </c>
      <c r="F178" s="42">
        <v>144.0</v>
      </c>
    </row>
    <row r="179">
      <c r="A179" s="41" t="s">
        <v>706</v>
      </c>
      <c r="B179" s="42">
        <v>178.0</v>
      </c>
      <c r="C179" s="43" t="s">
        <v>707</v>
      </c>
      <c r="D179" s="44">
        <v>1511155.0</v>
      </c>
      <c r="E179" s="45">
        <v>5130.0</v>
      </c>
      <c r="F179" s="42">
        <v>295.0</v>
      </c>
    </row>
    <row r="180">
      <c r="A180" s="41" t="s">
        <v>708</v>
      </c>
      <c r="B180" s="42">
        <v>179.0</v>
      </c>
      <c r="C180" s="43" t="s">
        <v>709</v>
      </c>
      <c r="D180" s="44">
        <v>1.2348573E7</v>
      </c>
      <c r="E180" s="45">
        <v>155360.0</v>
      </c>
      <c r="F180" s="42">
        <v>79.0</v>
      </c>
    </row>
    <row r="181">
      <c r="A181" s="41" t="s">
        <v>710</v>
      </c>
      <c r="B181" s="42">
        <v>180.0</v>
      </c>
      <c r="C181" s="43" t="s">
        <v>711</v>
      </c>
      <c r="D181" s="44">
        <v>8.7685426E7</v>
      </c>
      <c r="E181" s="45">
        <v>769630.0</v>
      </c>
      <c r="F181" s="42">
        <v>114.0</v>
      </c>
    </row>
    <row r="182">
      <c r="A182" s="41" t="s">
        <v>712</v>
      </c>
      <c r="B182" s="42">
        <v>181.0</v>
      </c>
      <c r="C182" s="43" t="s">
        <v>713</v>
      </c>
      <c r="D182" s="44">
        <v>7618847.0</v>
      </c>
      <c r="E182" s="45">
        <v>469930.0</v>
      </c>
      <c r="F182" s="42">
        <v>16.0</v>
      </c>
    </row>
    <row r="183">
      <c r="A183" s="41" t="s">
        <v>714</v>
      </c>
      <c r="B183" s="42">
        <v>182.0</v>
      </c>
      <c r="C183" s="43" t="s">
        <v>715</v>
      </c>
      <c r="D183" s="44">
        <v>9492.0</v>
      </c>
      <c r="E183" s="42">
        <v>30.0</v>
      </c>
      <c r="F183" s="42">
        <v>316.0</v>
      </c>
    </row>
    <row r="184">
      <c r="A184" s="41" t="s">
        <v>716</v>
      </c>
      <c r="B184" s="42">
        <v>183.0</v>
      </c>
      <c r="C184" s="43" t="s">
        <v>717</v>
      </c>
      <c r="D184" s="44">
        <v>5.1384894E7</v>
      </c>
      <c r="E184" s="45">
        <v>199810.0</v>
      </c>
      <c r="F184" s="42">
        <v>257.0</v>
      </c>
    </row>
    <row r="185">
      <c r="A185" s="41" t="s">
        <v>718</v>
      </c>
      <c r="B185" s="42">
        <v>184.0</v>
      </c>
      <c r="C185" s="43" t="s">
        <v>719</v>
      </c>
      <c r="D185" s="44">
        <v>3.8980376E7</v>
      </c>
      <c r="E185" s="45">
        <v>579320.0</v>
      </c>
      <c r="F185" s="42">
        <v>67.0</v>
      </c>
    </row>
    <row r="186">
      <c r="A186" s="41" t="s">
        <v>720</v>
      </c>
      <c r="B186" s="42">
        <v>185.0</v>
      </c>
      <c r="C186" s="43" t="s">
        <v>721</v>
      </c>
      <c r="D186" s="44">
        <v>1.1346E7</v>
      </c>
      <c r="E186" s="45">
        <v>83600.0</v>
      </c>
      <c r="F186" s="42">
        <v>136.0</v>
      </c>
    </row>
    <row r="187">
      <c r="A187" s="41" t="s">
        <v>722</v>
      </c>
      <c r="B187" s="42">
        <v>186.0</v>
      </c>
      <c r="C187" s="43" t="s">
        <v>723</v>
      </c>
      <c r="D187" s="44">
        <v>6.9551332E7</v>
      </c>
      <c r="E187" s="45">
        <v>241930.0</v>
      </c>
      <c r="F187" s="42">
        <v>287.0</v>
      </c>
    </row>
    <row r="188">
      <c r="A188" s="41" t="s">
        <v>724</v>
      </c>
      <c r="B188" s="42">
        <v>187.0</v>
      </c>
      <c r="C188" s="43" t="s">
        <v>725</v>
      </c>
      <c r="D188" s="44">
        <v>3.47275807E8</v>
      </c>
      <c r="E188" s="45">
        <v>9147420.0</v>
      </c>
      <c r="F188" s="42">
        <v>38.0</v>
      </c>
    </row>
    <row r="189">
      <c r="A189" s="41" t="s">
        <v>726</v>
      </c>
      <c r="B189" s="42">
        <v>188.0</v>
      </c>
      <c r="C189" s="43" t="s">
        <v>727</v>
      </c>
      <c r="D189" s="44">
        <v>3384688.0</v>
      </c>
      <c r="E189" s="45">
        <v>175020.0</v>
      </c>
      <c r="F189" s="42">
        <v>19.0</v>
      </c>
    </row>
    <row r="190">
      <c r="A190" s="41" t="s">
        <v>728</v>
      </c>
      <c r="B190" s="42">
        <v>189.0</v>
      </c>
      <c r="C190" s="43" t="s">
        <v>729</v>
      </c>
      <c r="D190" s="44">
        <v>3.7053428E7</v>
      </c>
      <c r="E190" s="45">
        <v>425400.0</v>
      </c>
      <c r="F190" s="42">
        <v>87.0</v>
      </c>
    </row>
    <row r="191">
      <c r="A191" s="41" t="s">
        <v>730</v>
      </c>
      <c r="B191" s="42">
        <v>190.0</v>
      </c>
      <c r="C191" s="43" t="s">
        <v>731</v>
      </c>
      <c r="D191" s="44">
        <v>335169.0</v>
      </c>
      <c r="E191" s="45">
        <v>12190.0</v>
      </c>
      <c r="F191" s="42">
        <v>27.0</v>
      </c>
    </row>
    <row r="192">
      <c r="A192" s="41" t="s">
        <v>732</v>
      </c>
      <c r="B192" s="42">
        <v>191.0</v>
      </c>
      <c r="C192" s="43" t="s">
        <v>733</v>
      </c>
      <c r="D192" s="44">
        <v>2.8516896E7</v>
      </c>
      <c r="E192" s="45">
        <v>882050.0</v>
      </c>
      <c r="F192" s="42">
        <v>32.0</v>
      </c>
    </row>
    <row r="193">
      <c r="A193" s="41" t="s">
        <v>734</v>
      </c>
      <c r="B193" s="42">
        <v>192.0</v>
      </c>
      <c r="C193" s="43" t="s">
        <v>735</v>
      </c>
      <c r="D193" s="44">
        <v>1.01598527E8</v>
      </c>
      <c r="E193" s="45">
        <v>310070.0</v>
      </c>
      <c r="F193" s="42">
        <v>328.0</v>
      </c>
    </row>
    <row r="194">
      <c r="A194" s="41" t="s">
        <v>736</v>
      </c>
      <c r="B194" s="42">
        <v>193.0</v>
      </c>
      <c r="C194" s="43" t="s">
        <v>737</v>
      </c>
      <c r="D194" s="44">
        <v>4.1773878E7</v>
      </c>
      <c r="E194" s="45">
        <v>527970.0</v>
      </c>
      <c r="F194" s="42">
        <v>79.0</v>
      </c>
    </row>
    <row r="195">
      <c r="A195" s="41" t="s">
        <v>738</v>
      </c>
      <c r="B195" s="42">
        <v>194.0</v>
      </c>
      <c r="C195" s="43" t="s">
        <v>739</v>
      </c>
      <c r="D195" s="44">
        <v>2.1913874E7</v>
      </c>
      <c r="E195" s="45">
        <v>743390.0</v>
      </c>
      <c r="F195" s="42">
        <v>29.0</v>
      </c>
    </row>
    <row r="196">
      <c r="A196" s="41" t="s">
        <v>740</v>
      </c>
      <c r="B196" s="42">
        <v>195.0</v>
      </c>
      <c r="C196" s="43" t="s">
        <v>741</v>
      </c>
      <c r="D196" s="44">
        <v>1.6950795E7</v>
      </c>
      <c r="E196" s="45">
        <v>386850.0</v>
      </c>
      <c r="F196" s="42">
        <v>44.0</v>
      </c>
    </row>
  </sheetData>
  <hyperlinks>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 r:id="rId37" ref="D37"/>
    <hyperlink r:id="rId38" ref="D38"/>
    <hyperlink r:id="rId39" ref="D39"/>
    <hyperlink r:id="rId40" ref="D40"/>
    <hyperlink r:id="rId41" ref="D41"/>
    <hyperlink r:id="rId42" ref="D42"/>
    <hyperlink r:id="rId43" ref="D43"/>
    <hyperlink r:id="rId44" ref="D44"/>
    <hyperlink r:id="rId45" ref="D45"/>
    <hyperlink r:id="rId46" ref="D46"/>
    <hyperlink r:id="rId47" ref="D47"/>
    <hyperlink r:id="rId48" ref="D48"/>
    <hyperlink r:id="rId49" ref="D49"/>
    <hyperlink r:id="rId50" ref="D50"/>
    <hyperlink r:id="rId51" ref="D51"/>
    <hyperlink r:id="rId52" ref="D52"/>
    <hyperlink r:id="rId53" ref="D53"/>
    <hyperlink r:id="rId54" ref="D54"/>
    <hyperlink r:id="rId55" ref="D55"/>
    <hyperlink r:id="rId56" ref="D56"/>
    <hyperlink r:id="rId57" ref="D57"/>
    <hyperlink r:id="rId58" ref="D58"/>
    <hyperlink r:id="rId59" ref="D59"/>
    <hyperlink r:id="rId60" ref="D60"/>
    <hyperlink r:id="rId61" ref="D61"/>
    <hyperlink r:id="rId62" ref="D62"/>
    <hyperlink r:id="rId63" ref="D63"/>
    <hyperlink r:id="rId64" ref="D64"/>
    <hyperlink r:id="rId65" ref="D65"/>
    <hyperlink r:id="rId66" ref="D66"/>
    <hyperlink r:id="rId67" ref="D67"/>
    <hyperlink r:id="rId68" ref="D68"/>
    <hyperlink r:id="rId69" ref="D69"/>
    <hyperlink r:id="rId70" ref="D70"/>
    <hyperlink r:id="rId71" ref="D71"/>
    <hyperlink r:id="rId72" ref="D72"/>
    <hyperlink r:id="rId73" ref="D73"/>
    <hyperlink r:id="rId74" ref="D74"/>
    <hyperlink r:id="rId75" ref="D75"/>
    <hyperlink r:id="rId76" ref="D76"/>
    <hyperlink r:id="rId77" ref="D77"/>
    <hyperlink r:id="rId78" ref="D78"/>
    <hyperlink r:id="rId79" ref="D79"/>
    <hyperlink r:id="rId80" ref="D80"/>
    <hyperlink r:id="rId81" ref="D81"/>
    <hyperlink r:id="rId82" ref="D82"/>
    <hyperlink r:id="rId83" ref="D83"/>
    <hyperlink r:id="rId84" ref="D84"/>
    <hyperlink r:id="rId85" ref="D85"/>
    <hyperlink r:id="rId86" ref="D86"/>
    <hyperlink r:id="rId87" ref="D87"/>
    <hyperlink r:id="rId88" ref="D88"/>
    <hyperlink r:id="rId89" ref="D89"/>
    <hyperlink r:id="rId90" ref="D90"/>
    <hyperlink r:id="rId91" ref="D91"/>
    <hyperlink r:id="rId92" ref="D92"/>
    <hyperlink r:id="rId93" ref="D93"/>
    <hyperlink r:id="rId94" ref="D94"/>
    <hyperlink r:id="rId95" ref="D95"/>
    <hyperlink r:id="rId96" ref="D96"/>
    <hyperlink r:id="rId97" ref="D97"/>
    <hyperlink r:id="rId98" ref="D98"/>
    <hyperlink r:id="rId99" ref="D99"/>
    <hyperlink r:id="rId100" ref="D100"/>
    <hyperlink r:id="rId101" ref="D101"/>
    <hyperlink r:id="rId102" ref="D102"/>
    <hyperlink r:id="rId103" ref="D103"/>
    <hyperlink r:id="rId104" ref="D104"/>
    <hyperlink r:id="rId105" ref="D105"/>
    <hyperlink r:id="rId106" ref="D106"/>
    <hyperlink r:id="rId107" ref="D107"/>
    <hyperlink r:id="rId108" ref="D108"/>
    <hyperlink r:id="rId109" ref="D109"/>
    <hyperlink r:id="rId110" ref="D110"/>
    <hyperlink r:id="rId111" ref="D111"/>
    <hyperlink r:id="rId112" ref="D112"/>
    <hyperlink r:id="rId113" ref="D113"/>
    <hyperlink r:id="rId114" ref="D114"/>
    <hyperlink r:id="rId115" ref="D115"/>
    <hyperlink r:id="rId116" ref="D116"/>
    <hyperlink r:id="rId117" ref="D117"/>
    <hyperlink r:id="rId118" ref="D118"/>
    <hyperlink r:id="rId119" ref="D119"/>
    <hyperlink r:id="rId120" ref="D120"/>
    <hyperlink r:id="rId121" ref="D121"/>
    <hyperlink r:id="rId122" ref="D122"/>
    <hyperlink r:id="rId123" ref="D123"/>
    <hyperlink r:id="rId124" ref="D124"/>
    <hyperlink r:id="rId125" ref="D125"/>
    <hyperlink r:id="rId126" ref="D126"/>
    <hyperlink r:id="rId127" ref="D127"/>
    <hyperlink r:id="rId128" ref="D128"/>
    <hyperlink r:id="rId129" ref="D129"/>
    <hyperlink r:id="rId130" ref="D130"/>
    <hyperlink r:id="rId131" ref="D131"/>
    <hyperlink r:id="rId132" ref="D132"/>
    <hyperlink r:id="rId133" ref="D133"/>
    <hyperlink r:id="rId134" ref="D134"/>
    <hyperlink r:id="rId135" ref="D135"/>
    <hyperlink r:id="rId136" ref="D136"/>
    <hyperlink r:id="rId137" ref="D137"/>
    <hyperlink r:id="rId138" ref="D138"/>
    <hyperlink r:id="rId139" ref="D139"/>
    <hyperlink r:id="rId140" ref="D140"/>
    <hyperlink r:id="rId141" ref="D141"/>
    <hyperlink r:id="rId142" ref="D142"/>
    <hyperlink r:id="rId143" ref="D143"/>
    <hyperlink r:id="rId144" ref="D144"/>
    <hyperlink r:id="rId145" ref="D145"/>
    <hyperlink r:id="rId146" ref="D146"/>
    <hyperlink r:id="rId147" ref="D147"/>
    <hyperlink r:id="rId148" ref="D148"/>
    <hyperlink r:id="rId149" ref="D149"/>
    <hyperlink r:id="rId150" ref="D150"/>
    <hyperlink r:id="rId151" ref="D151"/>
    <hyperlink r:id="rId152" ref="D152"/>
    <hyperlink r:id="rId153" ref="D153"/>
    <hyperlink r:id="rId154" ref="D154"/>
    <hyperlink r:id="rId155" ref="D155"/>
    <hyperlink r:id="rId156" ref="D156"/>
    <hyperlink r:id="rId157" ref="D157"/>
    <hyperlink r:id="rId158" ref="D158"/>
    <hyperlink r:id="rId159" ref="D159"/>
    <hyperlink r:id="rId160" ref="D160"/>
    <hyperlink r:id="rId161" ref="D161"/>
    <hyperlink r:id="rId162" ref="D162"/>
    <hyperlink r:id="rId163" ref="D163"/>
    <hyperlink r:id="rId164" ref="D164"/>
    <hyperlink r:id="rId165" ref="D165"/>
    <hyperlink r:id="rId166" ref="D166"/>
    <hyperlink r:id="rId167" ref="D167"/>
    <hyperlink r:id="rId168" ref="D168"/>
    <hyperlink r:id="rId169" ref="D169"/>
    <hyperlink r:id="rId170" ref="D170"/>
    <hyperlink r:id="rId171" ref="D171"/>
    <hyperlink r:id="rId172" ref="D172"/>
    <hyperlink r:id="rId173" ref="D173"/>
    <hyperlink r:id="rId174" ref="D174"/>
    <hyperlink r:id="rId175" ref="D175"/>
    <hyperlink r:id="rId176" ref="D176"/>
    <hyperlink r:id="rId177" ref="D177"/>
    <hyperlink r:id="rId178" ref="D178"/>
    <hyperlink r:id="rId179" ref="D179"/>
    <hyperlink r:id="rId180" ref="D180"/>
    <hyperlink r:id="rId181" ref="D181"/>
    <hyperlink r:id="rId182" ref="D182"/>
    <hyperlink r:id="rId183" ref="D183"/>
    <hyperlink r:id="rId184" ref="D184"/>
    <hyperlink r:id="rId185" ref="D185"/>
    <hyperlink r:id="rId186" ref="D186"/>
    <hyperlink r:id="rId187" ref="D187"/>
    <hyperlink r:id="rId188" ref="D188"/>
    <hyperlink r:id="rId189" ref="D189"/>
    <hyperlink r:id="rId190" ref="D190"/>
    <hyperlink r:id="rId191" ref="D191"/>
    <hyperlink r:id="rId192" ref="D192"/>
    <hyperlink r:id="rId193" ref="D193"/>
    <hyperlink r:id="rId194" ref="D194"/>
    <hyperlink r:id="rId195" ref="D195"/>
    <hyperlink r:id="rId196" ref="D196"/>
  </hyperlinks>
  <drawing r:id="rId197"/>
  <legacyDrawing r:id="rId19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742</v>
      </c>
      <c r="B1" s="30" t="s">
        <v>743</v>
      </c>
      <c r="C1" s="30" t="s">
        <v>744</v>
      </c>
      <c r="D1" s="30" t="s">
        <v>745</v>
      </c>
      <c r="E1" s="30" t="s">
        <v>746</v>
      </c>
      <c r="F1" s="30" t="s">
        <v>747</v>
      </c>
      <c r="G1" s="30" t="s">
        <v>748</v>
      </c>
      <c r="H1" s="30" t="s">
        <v>749</v>
      </c>
      <c r="I1" s="30" t="s">
        <v>750</v>
      </c>
    </row>
    <row r="2">
      <c r="A2" s="28" t="s">
        <v>751</v>
      </c>
      <c r="B2" s="28" t="s">
        <v>752</v>
      </c>
      <c r="C2" s="28" t="s">
        <v>753</v>
      </c>
      <c r="D2" s="28" t="s">
        <v>754</v>
      </c>
      <c r="E2" s="28" t="s">
        <v>755</v>
      </c>
      <c r="F2" s="47">
        <v>5024279.0</v>
      </c>
      <c r="G2" s="47">
        <v>52420.0</v>
      </c>
      <c r="H2" s="47">
        <v>135767.0</v>
      </c>
      <c r="I2" s="28">
        <v>7.0</v>
      </c>
    </row>
    <row r="3">
      <c r="A3" s="28" t="s">
        <v>756</v>
      </c>
      <c r="B3" s="28" t="s">
        <v>757</v>
      </c>
      <c r="C3" s="28" t="s">
        <v>758</v>
      </c>
      <c r="D3" s="28" t="s">
        <v>759</v>
      </c>
      <c r="E3" s="28" t="s">
        <v>760</v>
      </c>
      <c r="F3" s="47">
        <v>733391.0</v>
      </c>
      <c r="G3" s="47">
        <v>665384.0</v>
      </c>
      <c r="H3" s="47">
        <v>1723337.0</v>
      </c>
      <c r="I3" s="28">
        <v>1.0</v>
      </c>
    </row>
    <row r="4">
      <c r="A4" s="28" t="s">
        <v>761</v>
      </c>
      <c r="B4" s="28" t="s">
        <v>762</v>
      </c>
      <c r="C4" s="28" t="s">
        <v>763</v>
      </c>
      <c r="D4" s="28" t="s">
        <v>764</v>
      </c>
      <c r="F4" s="47">
        <v>7151502.0</v>
      </c>
      <c r="G4" s="47">
        <v>113990.0</v>
      </c>
      <c r="H4" s="47">
        <v>295234.0</v>
      </c>
      <c r="I4" s="28">
        <v>9.0</v>
      </c>
    </row>
    <row r="5">
      <c r="A5" s="28" t="s">
        <v>765</v>
      </c>
      <c r="B5" s="28" t="s">
        <v>766</v>
      </c>
      <c r="C5" s="28" t="s">
        <v>767</v>
      </c>
      <c r="D5" s="28" t="s">
        <v>768</v>
      </c>
      <c r="F5" s="47">
        <v>3011524.0</v>
      </c>
      <c r="G5" s="47">
        <v>53179.0</v>
      </c>
      <c r="H5" s="47">
        <v>137732.0</v>
      </c>
      <c r="I5" s="28">
        <v>4.0</v>
      </c>
    </row>
    <row r="6">
      <c r="A6" s="28" t="s">
        <v>769</v>
      </c>
      <c r="B6" s="28" t="s">
        <v>770</v>
      </c>
      <c r="C6" s="28" t="s">
        <v>771</v>
      </c>
      <c r="D6" s="28" t="s">
        <v>772</v>
      </c>
      <c r="E6" s="28" t="s">
        <v>773</v>
      </c>
      <c r="F6" s="47">
        <v>3.9538223E7</v>
      </c>
      <c r="G6" s="47">
        <v>163695.0</v>
      </c>
      <c r="H6" s="47">
        <v>423967.0</v>
      </c>
      <c r="I6" s="28">
        <v>52.0</v>
      </c>
    </row>
    <row r="7">
      <c r="A7" s="28" t="s">
        <v>774</v>
      </c>
      <c r="B7" s="28" t="s">
        <v>775</v>
      </c>
      <c r="C7" s="28" t="s">
        <v>776</v>
      </c>
      <c r="D7" s="28" t="s">
        <v>777</v>
      </c>
      <c r="F7" s="47">
        <v>5773714.0</v>
      </c>
      <c r="G7" s="47">
        <v>104094.0</v>
      </c>
      <c r="H7" s="47">
        <v>269601.0</v>
      </c>
      <c r="I7" s="28">
        <v>8.0</v>
      </c>
    </row>
    <row r="8">
      <c r="A8" s="28" t="s">
        <v>778</v>
      </c>
      <c r="B8" s="28" t="s">
        <v>779</v>
      </c>
      <c r="C8" s="28" t="s">
        <v>780</v>
      </c>
      <c r="D8" s="28" t="s">
        <v>781</v>
      </c>
      <c r="E8" s="28" t="s">
        <v>782</v>
      </c>
      <c r="F8" s="47">
        <v>3605944.0</v>
      </c>
      <c r="G8" s="47">
        <v>5543.0</v>
      </c>
      <c r="H8" s="47">
        <v>14357.0</v>
      </c>
      <c r="I8" s="28">
        <v>5.0</v>
      </c>
    </row>
    <row r="9">
      <c r="A9" s="28" t="s">
        <v>783</v>
      </c>
      <c r="B9" s="28" t="s">
        <v>784</v>
      </c>
      <c r="C9" s="28" t="s">
        <v>785</v>
      </c>
      <c r="D9" s="28" t="s">
        <v>786</v>
      </c>
      <c r="E9" s="28" t="s">
        <v>787</v>
      </c>
      <c r="F9" s="47">
        <v>989948.0</v>
      </c>
      <c r="G9" s="47">
        <v>2489.0</v>
      </c>
      <c r="H9" s="47">
        <v>6446.0</v>
      </c>
      <c r="I9" s="28">
        <v>1.0</v>
      </c>
    </row>
    <row r="10">
      <c r="A10" s="28" t="s">
        <v>788</v>
      </c>
      <c r="B10" s="28" t="s">
        <v>789</v>
      </c>
      <c r="C10" s="28" t="s">
        <v>790</v>
      </c>
      <c r="D10" s="28" t="s">
        <v>791</v>
      </c>
      <c r="E10" s="28" t="s">
        <v>792</v>
      </c>
      <c r="F10" s="47">
        <v>2.1538187E7</v>
      </c>
      <c r="G10" s="47">
        <v>65758.0</v>
      </c>
      <c r="H10" s="47">
        <v>170312.0</v>
      </c>
      <c r="I10" s="28">
        <v>28.0</v>
      </c>
    </row>
    <row r="11">
      <c r="A11" s="28" t="s">
        <v>793</v>
      </c>
      <c r="B11" s="28" t="s">
        <v>479</v>
      </c>
      <c r="C11" s="28" t="s">
        <v>794</v>
      </c>
      <c r="D11" s="28" t="s">
        <v>795</v>
      </c>
      <c r="F11" s="47">
        <v>1.0711908E7</v>
      </c>
      <c r="G11" s="47">
        <v>59425.0</v>
      </c>
      <c r="H11" s="47">
        <v>153910.0</v>
      </c>
      <c r="I11" s="28">
        <v>14.0</v>
      </c>
    </row>
    <row r="12">
      <c r="A12" s="28" t="s">
        <v>796</v>
      </c>
      <c r="B12" s="28" t="s">
        <v>797</v>
      </c>
      <c r="C12" s="28" t="s">
        <v>798</v>
      </c>
      <c r="D12" s="28" t="s">
        <v>799</v>
      </c>
      <c r="F12" s="47">
        <v>1455271.0</v>
      </c>
      <c r="G12" s="47">
        <v>10932.0</v>
      </c>
      <c r="H12" s="47">
        <v>28313.0</v>
      </c>
      <c r="I12" s="28">
        <v>2.0</v>
      </c>
    </row>
    <row r="13">
      <c r="A13" s="28" t="s">
        <v>800</v>
      </c>
      <c r="B13" s="28" t="s">
        <v>801</v>
      </c>
      <c r="C13" s="28" t="s">
        <v>802</v>
      </c>
      <c r="D13" s="28" t="s">
        <v>803</v>
      </c>
      <c r="F13" s="47">
        <v>1839106.0</v>
      </c>
      <c r="G13" s="47">
        <v>83569.0</v>
      </c>
      <c r="H13" s="47">
        <v>216443.0</v>
      </c>
      <c r="I13" s="28">
        <v>2.0</v>
      </c>
    </row>
    <row r="14">
      <c r="A14" s="28" t="s">
        <v>804</v>
      </c>
      <c r="B14" s="28" t="s">
        <v>805</v>
      </c>
      <c r="C14" s="28" t="s">
        <v>806</v>
      </c>
      <c r="D14" s="28" t="s">
        <v>807</v>
      </c>
      <c r="E14" s="28" t="s">
        <v>808</v>
      </c>
      <c r="F14" s="47">
        <v>1.2812508E7</v>
      </c>
      <c r="G14" s="47">
        <v>57914.0</v>
      </c>
      <c r="H14" s="47">
        <v>149995.0</v>
      </c>
      <c r="I14" s="28">
        <v>17.0</v>
      </c>
    </row>
    <row r="15">
      <c r="A15" s="28" t="s">
        <v>809</v>
      </c>
      <c r="B15" s="28" t="s">
        <v>810</v>
      </c>
      <c r="C15" s="28" t="s">
        <v>811</v>
      </c>
      <c r="D15" s="28" t="s">
        <v>812</v>
      </c>
      <c r="F15" s="47">
        <v>6785528.0</v>
      </c>
      <c r="G15" s="47">
        <v>36420.0</v>
      </c>
      <c r="H15" s="47">
        <v>94326.0</v>
      </c>
      <c r="I15" s="28">
        <v>9.0</v>
      </c>
    </row>
    <row r="16">
      <c r="A16" s="28" t="s">
        <v>813</v>
      </c>
      <c r="B16" s="28" t="s">
        <v>814</v>
      </c>
      <c r="C16" s="28" t="s">
        <v>815</v>
      </c>
      <c r="D16" s="28" t="s">
        <v>816</v>
      </c>
      <c r="F16" s="47">
        <v>3190369.0</v>
      </c>
      <c r="G16" s="47">
        <v>56273.0</v>
      </c>
      <c r="H16" s="47">
        <v>145746.0</v>
      </c>
      <c r="I16" s="28">
        <v>4.0</v>
      </c>
    </row>
    <row r="17">
      <c r="A17" s="28" t="s">
        <v>817</v>
      </c>
      <c r="B17" s="28" t="s">
        <v>818</v>
      </c>
      <c r="C17" s="28" t="s">
        <v>819</v>
      </c>
      <c r="D17" s="28" t="s">
        <v>820</v>
      </c>
      <c r="E17" s="28" t="s">
        <v>821</v>
      </c>
      <c r="F17" s="47">
        <v>2937880.0</v>
      </c>
      <c r="G17" s="47">
        <v>82278.0</v>
      </c>
      <c r="H17" s="47">
        <v>213100.0</v>
      </c>
      <c r="I17" s="28">
        <v>4.0</v>
      </c>
    </row>
    <row r="18">
      <c r="A18" s="28" t="s">
        <v>822</v>
      </c>
      <c r="B18" s="28" t="s">
        <v>823</v>
      </c>
      <c r="C18" s="28" t="s">
        <v>824</v>
      </c>
      <c r="D18" s="28" t="s">
        <v>825</v>
      </c>
      <c r="E18" s="28" t="s">
        <v>826</v>
      </c>
      <c r="F18" s="47">
        <v>4505836.0</v>
      </c>
      <c r="G18" s="47">
        <v>40408.0</v>
      </c>
      <c r="H18" s="47">
        <v>104656.0</v>
      </c>
      <c r="I18" s="28">
        <v>6.0</v>
      </c>
    </row>
    <row r="19">
      <c r="A19" s="28" t="s">
        <v>827</v>
      </c>
      <c r="B19" s="28" t="s">
        <v>828</v>
      </c>
      <c r="C19" s="28" t="s">
        <v>829</v>
      </c>
      <c r="D19" s="28" t="s">
        <v>830</v>
      </c>
      <c r="E19" s="28" t="s">
        <v>831</v>
      </c>
      <c r="F19" s="47">
        <v>4657757.0</v>
      </c>
      <c r="G19" s="47">
        <v>52378.0</v>
      </c>
      <c r="H19" s="47">
        <v>135659.0</v>
      </c>
      <c r="I19" s="28">
        <v>6.0</v>
      </c>
    </row>
    <row r="20">
      <c r="A20" s="28" t="s">
        <v>832</v>
      </c>
      <c r="B20" s="28" t="s">
        <v>833</v>
      </c>
      <c r="C20" s="28" t="s">
        <v>834</v>
      </c>
      <c r="D20" s="28" t="s">
        <v>835</v>
      </c>
      <c r="E20" s="28" t="s">
        <v>836</v>
      </c>
      <c r="F20" s="47">
        <v>1362359.0</v>
      </c>
      <c r="G20" s="47">
        <v>35380.0</v>
      </c>
      <c r="H20" s="47">
        <v>91633.0</v>
      </c>
      <c r="I20" s="28">
        <v>2.0</v>
      </c>
    </row>
    <row r="21">
      <c r="A21" s="28" t="s">
        <v>837</v>
      </c>
      <c r="B21" s="28" t="s">
        <v>838</v>
      </c>
      <c r="C21" s="28" t="s">
        <v>839</v>
      </c>
      <c r="D21" s="28" t="s">
        <v>840</v>
      </c>
      <c r="E21" s="28" t="s">
        <v>841</v>
      </c>
      <c r="F21" s="47">
        <v>6177224.0</v>
      </c>
      <c r="G21" s="47">
        <v>12406.0</v>
      </c>
      <c r="H21" s="47">
        <v>32131.0</v>
      </c>
      <c r="I21" s="28">
        <v>8.0</v>
      </c>
    </row>
    <row r="22">
      <c r="A22" s="28" t="s">
        <v>842</v>
      </c>
      <c r="B22" s="28" t="s">
        <v>843</v>
      </c>
      <c r="C22" s="28" t="s">
        <v>844</v>
      </c>
      <c r="D22" s="28" t="s">
        <v>845</v>
      </c>
      <c r="F22" s="47">
        <v>7029917.0</v>
      </c>
      <c r="G22" s="47">
        <v>10554.0</v>
      </c>
      <c r="H22" s="47">
        <v>27336.0</v>
      </c>
      <c r="I22" s="28">
        <v>9.0</v>
      </c>
    </row>
    <row r="23">
      <c r="A23" s="28" t="s">
        <v>846</v>
      </c>
      <c r="B23" s="28" t="s">
        <v>847</v>
      </c>
      <c r="C23" s="28" t="s">
        <v>848</v>
      </c>
      <c r="D23" s="28" t="s">
        <v>849</v>
      </c>
      <c r="E23" s="28" t="s">
        <v>850</v>
      </c>
      <c r="F23" s="47">
        <v>1.0077331E7</v>
      </c>
      <c r="G23" s="47">
        <v>96714.0</v>
      </c>
      <c r="H23" s="47">
        <v>250487.0</v>
      </c>
      <c r="I23" s="28">
        <v>13.0</v>
      </c>
    </row>
    <row r="24">
      <c r="A24" s="28" t="s">
        <v>851</v>
      </c>
      <c r="B24" s="28" t="s">
        <v>852</v>
      </c>
      <c r="C24" s="28" t="s">
        <v>853</v>
      </c>
      <c r="D24" s="28" t="s">
        <v>854</v>
      </c>
      <c r="E24" s="28" t="s">
        <v>855</v>
      </c>
      <c r="F24" s="47">
        <v>5706494.0</v>
      </c>
      <c r="G24" s="47">
        <v>86936.0</v>
      </c>
      <c r="H24" s="47">
        <v>225163.0</v>
      </c>
      <c r="I24" s="28">
        <v>8.0</v>
      </c>
    </row>
    <row r="25">
      <c r="A25" s="28" t="s">
        <v>856</v>
      </c>
      <c r="B25" s="28" t="s">
        <v>857</v>
      </c>
      <c r="C25" s="28" t="s">
        <v>858</v>
      </c>
      <c r="D25" s="28" t="s">
        <v>859</v>
      </c>
      <c r="F25" s="47">
        <v>2961279.0</v>
      </c>
      <c r="G25" s="47">
        <v>48432.0</v>
      </c>
      <c r="H25" s="47">
        <v>125438.0</v>
      </c>
      <c r="I25" s="28">
        <v>4.0</v>
      </c>
    </row>
    <row r="26">
      <c r="A26" s="28" t="s">
        <v>860</v>
      </c>
      <c r="B26" s="28" t="s">
        <v>861</v>
      </c>
      <c r="C26" s="28" t="s">
        <v>862</v>
      </c>
      <c r="D26" s="28" t="s">
        <v>863</v>
      </c>
      <c r="E26" s="28" t="s">
        <v>864</v>
      </c>
      <c r="F26" s="47">
        <v>6154913.0</v>
      </c>
      <c r="G26" s="47">
        <v>69707.0</v>
      </c>
      <c r="H26" s="47">
        <v>180540.0</v>
      </c>
      <c r="I26" s="28">
        <v>8.0</v>
      </c>
    </row>
    <row r="27">
      <c r="A27" s="28" t="s">
        <v>865</v>
      </c>
      <c r="B27" s="28" t="s">
        <v>866</v>
      </c>
      <c r="C27" s="28" t="s">
        <v>867</v>
      </c>
      <c r="D27" s="28" t="s">
        <v>868</v>
      </c>
      <c r="E27" s="28" t="s">
        <v>869</v>
      </c>
      <c r="F27" s="47">
        <v>1084225.0</v>
      </c>
      <c r="G27" s="47">
        <v>147040.0</v>
      </c>
      <c r="H27" s="47">
        <v>380831.0</v>
      </c>
      <c r="I27" s="28">
        <v>2.0</v>
      </c>
    </row>
    <row r="28">
      <c r="A28" s="28" t="s">
        <v>870</v>
      </c>
      <c r="B28" s="28" t="s">
        <v>871</v>
      </c>
      <c r="C28" s="28" t="s">
        <v>872</v>
      </c>
      <c r="D28" s="28" t="s">
        <v>873</v>
      </c>
      <c r="E28" s="28" t="s">
        <v>874</v>
      </c>
      <c r="F28" s="47">
        <v>1961504.0</v>
      </c>
      <c r="G28" s="47">
        <v>77348.0</v>
      </c>
      <c r="H28" s="47">
        <v>200330.0</v>
      </c>
      <c r="I28" s="28">
        <v>3.0</v>
      </c>
    </row>
    <row r="29">
      <c r="A29" s="28" t="s">
        <v>875</v>
      </c>
      <c r="B29" s="28" t="s">
        <v>876</v>
      </c>
      <c r="C29" s="28" t="s">
        <v>877</v>
      </c>
      <c r="D29" s="28" t="s">
        <v>878</v>
      </c>
      <c r="E29" s="28" t="s">
        <v>879</v>
      </c>
      <c r="F29" s="47">
        <v>3104614.0</v>
      </c>
      <c r="G29" s="47">
        <v>110572.0</v>
      </c>
      <c r="H29" s="47">
        <v>286380.0</v>
      </c>
      <c r="I29" s="28">
        <v>4.0</v>
      </c>
    </row>
    <row r="30">
      <c r="A30" s="28" t="s">
        <v>880</v>
      </c>
      <c r="B30" s="28" t="s">
        <v>881</v>
      </c>
      <c r="C30" s="28" t="s">
        <v>882</v>
      </c>
      <c r="D30" s="28" t="s">
        <v>883</v>
      </c>
      <c r="E30" s="28" t="s">
        <v>884</v>
      </c>
      <c r="F30" s="47">
        <v>1377529.0</v>
      </c>
      <c r="G30" s="47">
        <v>9349.0</v>
      </c>
      <c r="H30" s="47">
        <v>24214.0</v>
      </c>
      <c r="I30" s="28">
        <v>2.0</v>
      </c>
    </row>
    <row r="31">
      <c r="A31" s="28" t="s">
        <v>885</v>
      </c>
      <c r="B31" s="28" t="s">
        <v>886</v>
      </c>
      <c r="C31" s="28" t="s">
        <v>887</v>
      </c>
      <c r="D31" s="28" t="s">
        <v>888</v>
      </c>
      <c r="E31" s="28" t="s">
        <v>889</v>
      </c>
      <c r="F31" s="47">
        <v>9288994.0</v>
      </c>
      <c r="G31" s="47">
        <v>8723.0</v>
      </c>
      <c r="H31" s="47">
        <v>22591.0</v>
      </c>
      <c r="I31" s="28">
        <v>12.0</v>
      </c>
    </row>
    <row r="32">
      <c r="A32" s="28" t="s">
        <v>890</v>
      </c>
      <c r="B32" s="28" t="s">
        <v>891</v>
      </c>
      <c r="C32" s="28" t="s">
        <v>892</v>
      </c>
      <c r="D32" s="28" t="s">
        <v>893</v>
      </c>
      <c r="E32" s="28" t="s">
        <v>894</v>
      </c>
      <c r="F32" s="47">
        <v>2117522.0</v>
      </c>
      <c r="G32" s="47">
        <v>121590.0</v>
      </c>
      <c r="H32" s="47">
        <v>314917.0</v>
      </c>
      <c r="I32" s="28">
        <v>3.0</v>
      </c>
    </row>
    <row r="33">
      <c r="A33" s="28" t="s">
        <v>895</v>
      </c>
      <c r="B33" s="28" t="s">
        <v>896</v>
      </c>
      <c r="C33" s="28" t="s">
        <v>897</v>
      </c>
      <c r="D33" s="28" t="s">
        <v>898</v>
      </c>
      <c r="E33" s="28" t="s">
        <v>899</v>
      </c>
      <c r="F33" s="47">
        <v>2.0201249E7</v>
      </c>
      <c r="G33" s="47">
        <v>54555.0</v>
      </c>
      <c r="H33" s="47">
        <v>141297.0</v>
      </c>
      <c r="I33" s="28">
        <v>26.0</v>
      </c>
    </row>
    <row r="34">
      <c r="A34" s="28" t="s">
        <v>900</v>
      </c>
      <c r="B34" s="28" t="s">
        <v>901</v>
      </c>
      <c r="C34" s="28" t="s">
        <v>902</v>
      </c>
      <c r="D34" s="28" t="s">
        <v>903</v>
      </c>
      <c r="E34" s="28" t="s">
        <v>904</v>
      </c>
      <c r="F34" s="47">
        <v>1.0439388E7</v>
      </c>
      <c r="G34" s="47">
        <v>53819.0</v>
      </c>
      <c r="H34" s="47">
        <v>139391.0</v>
      </c>
      <c r="I34" s="28">
        <v>14.0</v>
      </c>
    </row>
    <row r="35">
      <c r="A35" s="28" t="s">
        <v>905</v>
      </c>
      <c r="B35" s="28" t="s">
        <v>906</v>
      </c>
      <c r="C35" s="28" t="s">
        <v>907</v>
      </c>
      <c r="D35" s="28" t="s">
        <v>908</v>
      </c>
      <c r="E35" s="28" t="s">
        <v>909</v>
      </c>
      <c r="F35" s="47">
        <v>779094.0</v>
      </c>
      <c r="G35" s="47">
        <v>70698.0</v>
      </c>
      <c r="H35" s="47">
        <v>183108.0</v>
      </c>
      <c r="I35" s="28">
        <v>1.0</v>
      </c>
    </row>
    <row r="36">
      <c r="A36" s="28" t="s">
        <v>910</v>
      </c>
      <c r="B36" s="28" t="s">
        <v>911</v>
      </c>
      <c r="C36" s="28" t="s">
        <v>912</v>
      </c>
      <c r="D36" s="28" t="s">
        <v>913</v>
      </c>
      <c r="F36" s="47">
        <v>1.1799448E7</v>
      </c>
      <c r="G36" s="47">
        <v>44826.0</v>
      </c>
      <c r="H36" s="47">
        <v>116098.0</v>
      </c>
      <c r="I36" s="28">
        <v>15.0</v>
      </c>
    </row>
    <row r="37">
      <c r="A37" s="28" t="s">
        <v>914</v>
      </c>
      <c r="B37" s="28" t="s">
        <v>915</v>
      </c>
      <c r="C37" s="28" t="s">
        <v>916</v>
      </c>
      <c r="D37" s="28" t="s">
        <v>917</v>
      </c>
      <c r="F37" s="47">
        <v>3959353.0</v>
      </c>
      <c r="G37" s="47">
        <v>69899.0</v>
      </c>
      <c r="H37" s="47">
        <v>181037.0</v>
      </c>
      <c r="I37" s="28">
        <v>5.0</v>
      </c>
    </row>
    <row r="38">
      <c r="A38" s="28" t="s">
        <v>918</v>
      </c>
      <c r="B38" s="28" t="s">
        <v>919</v>
      </c>
      <c r="C38" s="28" t="s">
        <v>920</v>
      </c>
      <c r="D38" s="28" t="s">
        <v>921</v>
      </c>
      <c r="E38" s="28" t="s">
        <v>836</v>
      </c>
      <c r="F38" s="47">
        <v>4237256.0</v>
      </c>
      <c r="G38" s="47">
        <v>98379.0</v>
      </c>
      <c r="H38" s="47">
        <v>254799.0</v>
      </c>
      <c r="I38" s="28">
        <v>6.0</v>
      </c>
    </row>
    <row r="39">
      <c r="A39" s="28" t="s">
        <v>922</v>
      </c>
      <c r="B39" s="28" t="s">
        <v>923</v>
      </c>
      <c r="C39" s="28" t="s">
        <v>924</v>
      </c>
      <c r="D39" s="28" t="s">
        <v>925</v>
      </c>
      <c r="E39" s="28" t="s">
        <v>926</v>
      </c>
      <c r="F39" s="47">
        <v>1.30027E7</v>
      </c>
      <c r="G39" s="47">
        <v>46054.0</v>
      </c>
      <c r="H39" s="47">
        <v>119280.0</v>
      </c>
      <c r="I39" s="28">
        <v>17.0</v>
      </c>
    </row>
    <row r="40">
      <c r="A40" s="28" t="s">
        <v>927</v>
      </c>
      <c r="B40" s="28" t="s">
        <v>928</v>
      </c>
      <c r="C40" s="28" t="s">
        <v>929</v>
      </c>
      <c r="D40" s="28" t="s">
        <v>930</v>
      </c>
      <c r="F40" s="47">
        <v>1097379.0</v>
      </c>
      <c r="G40" s="47">
        <v>1545.0</v>
      </c>
      <c r="H40" s="47">
        <v>4001.0</v>
      </c>
      <c r="I40" s="28">
        <v>2.0</v>
      </c>
    </row>
    <row r="41">
      <c r="A41" s="28" t="s">
        <v>931</v>
      </c>
      <c r="B41" s="28" t="s">
        <v>932</v>
      </c>
      <c r="C41" s="28" t="s">
        <v>933</v>
      </c>
      <c r="D41" s="28" t="s">
        <v>934</v>
      </c>
      <c r="E41" s="28" t="s">
        <v>935</v>
      </c>
      <c r="F41" s="47">
        <v>5118425.0</v>
      </c>
      <c r="G41" s="47">
        <v>32020.0</v>
      </c>
      <c r="H41" s="47">
        <v>82933.0</v>
      </c>
      <c r="I41" s="28">
        <v>7.0</v>
      </c>
    </row>
    <row r="42">
      <c r="A42" s="28" t="s">
        <v>936</v>
      </c>
      <c r="B42" s="28" t="s">
        <v>937</v>
      </c>
      <c r="C42" s="28" t="s">
        <v>938</v>
      </c>
      <c r="D42" s="28" t="s">
        <v>939</v>
      </c>
      <c r="E42" s="28" t="s">
        <v>940</v>
      </c>
      <c r="F42" s="47">
        <v>886667.0</v>
      </c>
      <c r="G42" s="47">
        <v>77116.0</v>
      </c>
      <c r="H42" s="47">
        <v>199729.0</v>
      </c>
      <c r="I42" s="28">
        <v>1.0</v>
      </c>
    </row>
    <row r="43">
      <c r="A43" s="28" t="s">
        <v>941</v>
      </c>
      <c r="B43" s="28" t="s">
        <v>942</v>
      </c>
      <c r="C43" s="28" t="s">
        <v>943</v>
      </c>
      <c r="D43" s="28" t="s">
        <v>944</v>
      </c>
      <c r="F43" s="47">
        <v>6910840.0</v>
      </c>
      <c r="G43" s="47">
        <v>42144.0</v>
      </c>
      <c r="H43" s="47">
        <v>109153.0</v>
      </c>
      <c r="I43" s="28">
        <v>9.0</v>
      </c>
    </row>
    <row r="44">
      <c r="A44" s="28" t="s">
        <v>945</v>
      </c>
      <c r="B44" s="28" t="s">
        <v>946</v>
      </c>
      <c r="C44" s="28" t="s">
        <v>947</v>
      </c>
      <c r="D44" s="28" t="s">
        <v>948</v>
      </c>
      <c r="E44" s="28" t="s">
        <v>949</v>
      </c>
      <c r="F44" s="47">
        <v>2.9145505E7</v>
      </c>
      <c r="G44" s="47">
        <v>268596.0</v>
      </c>
      <c r="H44" s="47">
        <v>695662.0</v>
      </c>
      <c r="I44" s="28">
        <v>38.0</v>
      </c>
    </row>
    <row r="45">
      <c r="A45" s="28" t="s">
        <v>950</v>
      </c>
      <c r="B45" s="28" t="s">
        <v>951</v>
      </c>
      <c r="C45" s="28" t="s">
        <v>952</v>
      </c>
      <c r="D45" s="28" t="s">
        <v>953</v>
      </c>
      <c r="F45" s="47">
        <v>3271616.0</v>
      </c>
      <c r="G45" s="47">
        <v>84897.0</v>
      </c>
      <c r="H45" s="47">
        <v>219882.0</v>
      </c>
      <c r="I45" s="28">
        <v>4.0</v>
      </c>
    </row>
    <row r="46">
      <c r="A46" s="28" t="s">
        <v>954</v>
      </c>
      <c r="B46" s="28" t="s">
        <v>955</v>
      </c>
      <c r="C46" s="28" t="s">
        <v>956</v>
      </c>
      <c r="D46" s="28" t="s">
        <v>957</v>
      </c>
      <c r="E46" s="28" t="s">
        <v>958</v>
      </c>
      <c r="F46" s="47">
        <v>643077.0</v>
      </c>
      <c r="G46" s="47">
        <v>9616.0</v>
      </c>
      <c r="H46" s="47">
        <v>24906.0</v>
      </c>
      <c r="I46" s="28">
        <v>1.0</v>
      </c>
    </row>
    <row r="47">
      <c r="A47" s="28" t="s">
        <v>959</v>
      </c>
      <c r="B47" s="28" t="s">
        <v>960</v>
      </c>
      <c r="C47" s="28" t="s">
        <v>961</v>
      </c>
      <c r="D47" s="28" t="s">
        <v>962</v>
      </c>
      <c r="E47" s="28" t="s">
        <v>963</v>
      </c>
      <c r="F47" s="47">
        <v>8631393.0</v>
      </c>
      <c r="G47" s="47">
        <v>42775.0</v>
      </c>
      <c r="H47" s="47">
        <v>110787.0</v>
      </c>
      <c r="I47" s="28">
        <v>11.0</v>
      </c>
    </row>
    <row r="48">
      <c r="A48" s="28" t="s">
        <v>964</v>
      </c>
      <c r="B48" s="28" t="s">
        <v>965</v>
      </c>
      <c r="C48" s="28" t="s">
        <v>966</v>
      </c>
      <c r="D48" s="28" t="s">
        <v>967</v>
      </c>
      <c r="E48" s="28" t="s">
        <v>968</v>
      </c>
      <c r="F48" s="47">
        <v>7705281.0</v>
      </c>
      <c r="G48" s="47">
        <v>71298.0</v>
      </c>
      <c r="H48" s="47">
        <v>184661.0</v>
      </c>
      <c r="I48" s="28">
        <v>10.0</v>
      </c>
    </row>
    <row r="49">
      <c r="A49" s="28" t="s">
        <v>969</v>
      </c>
      <c r="B49" s="28" t="s">
        <v>970</v>
      </c>
      <c r="C49" s="28" t="s">
        <v>971</v>
      </c>
      <c r="D49" s="28" t="s">
        <v>935</v>
      </c>
      <c r="F49" s="47">
        <v>1793716.0</v>
      </c>
      <c r="G49" s="47">
        <v>24230.0</v>
      </c>
      <c r="H49" s="47">
        <v>62756.0</v>
      </c>
      <c r="I49" s="28">
        <v>2.0</v>
      </c>
    </row>
    <row r="50">
      <c r="A50" s="28" t="s">
        <v>972</v>
      </c>
      <c r="B50" s="28" t="s">
        <v>973</v>
      </c>
      <c r="C50" s="28" t="s">
        <v>974</v>
      </c>
      <c r="D50" s="28" t="s">
        <v>975</v>
      </c>
      <c r="E50" s="28" t="s">
        <v>976</v>
      </c>
      <c r="F50" s="47">
        <v>5893718.0</v>
      </c>
      <c r="G50" s="47">
        <v>65496.0</v>
      </c>
      <c r="H50" s="47">
        <v>169635.0</v>
      </c>
      <c r="I50" s="28">
        <v>8.0</v>
      </c>
    </row>
    <row r="51">
      <c r="A51" s="28" t="s">
        <v>977</v>
      </c>
      <c r="B51" s="28" t="s">
        <v>978</v>
      </c>
      <c r="C51" s="28" t="s">
        <v>979</v>
      </c>
      <c r="D51" s="28" t="s">
        <v>980</v>
      </c>
      <c r="F51" s="47">
        <v>576851.0</v>
      </c>
      <c r="G51" s="47">
        <v>97813.0</v>
      </c>
      <c r="H51" s="47">
        <v>253335.0</v>
      </c>
      <c r="I51" s="28">
        <v>1.0</v>
      </c>
    </row>
  </sheetData>
  <mergeCells count="17">
    <mergeCell ref="D4:E4"/>
    <mergeCell ref="D5:E5"/>
    <mergeCell ref="D7:E7"/>
    <mergeCell ref="D11:E11"/>
    <mergeCell ref="D12:E12"/>
    <mergeCell ref="D13:E13"/>
    <mergeCell ref="D15:E15"/>
    <mergeCell ref="D45:E45"/>
    <mergeCell ref="D49:E49"/>
    <mergeCell ref="D51:E51"/>
    <mergeCell ref="D16:E16"/>
    <mergeCell ref="D22:E22"/>
    <mergeCell ref="D25:E25"/>
    <mergeCell ref="D36:E36"/>
    <mergeCell ref="D37:E37"/>
    <mergeCell ref="D40:E40"/>
    <mergeCell ref="D43:E4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25"/>
    <col customWidth="1" min="3" max="3" width="9.5"/>
    <col customWidth="1" min="4" max="4" width="11.5"/>
    <col customWidth="1" min="5" max="5" width="156.63"/>
    <col customWidth="1" min="6" max="6" width="7.63"/>
    <col customWidth="1" min="7" max="7" width="131.88"/>
    <col customWidth="1" min="8" max="8" width="5.75"/>
    <col customWidth="1" min="9" max="9" width="65.63"/>
    <col customWidth="1" min="10" max="10" width="17.88"/>
    <col customWidth="1" min="11" max="12" width="13.88"/>
  </cols>
  <sheetData>
    <row r="1">
      <c r="A1" s="48" t="s">
        <v>981</v>
      </c>
      <c r="B1" s="49" t="s">
        <v>322</v>
      </c>
      <c r="C1" s="50" t="s">
        <v>981</v>
      </c>
      <c r="D1" s="50" t="s">
        <v>982</v>
      </c>
      <c r="E1" s="50" t="s">
        <v>983</v>
      </c>
      <c r="F1" s="50" t="s">
        <v>984</v>
      </c>
      <c r="G1" s="50" t="s">
        <v>985</v>
      </c>
      <c r="H1" s="50" t="s">
        <v>986</v>
      </c>
      <c r="I1" s="50" t="s">
        <v>987</v>
      </c>
      <c r="J1" s="50" t="s">
        <v>988</v>
      </c>
      <c r="K1" s="50" t="s">
        <v>989</v>
      </c>
      <c r="L1" s="51" t="s">
        <v>990</v>
      </c>
    </row>
    <row r="2">
      <c r="A2" s="52" t="s">
        <v>991</v>
      </c>
      <c r="B2" s="53">
        <v>2.0</v>
      </c>
      <c r="C2" s="54">
        <v>2123.0</v>
      </c>
      <c r="D2" s="55" t="s">
        <v>992</v>
      </c>
      <c r="E2" s="55" t="s">
        <v>993</v>
      </c>
      <c r="F2" s="54">
        <v>2122.0</v>
      </c>
      <c r="G2" s="55" t="s">
        <v>994</v>
      </c>
      <c r="H2" s="54">
        <v>2211.0</v>
      </c>
      <c r="I2" s="55" t="s">
        <v>995</v>
      </c>
      <c r="J2" s="56" t="s">
        <v>996</v>
      </c>
      <c r="K2" s="57"/>
      <c r="L2" s="58"/>
    </row>
    <row r="3">
      <c r="A3" s="52" t="s">
        <v>997</v>
      </c>
      <c r="B3" s="59">
        <v>3.0</v>
      </c>
      <c r="C3" s="60">
        <v>2124.0</v>
      </c>
      <c r="D3" s="61" t="s">
        <v>992</v>
      </c>
      <c r="E3" s="61" t="s">
        <v>998</v>
      </c>
      <c r="F3" s="60">
        <v>2123.0</v>
      </c>
      <c r="G3" s="61" t="s">
        <v>993</v>
      </c>
      <c r="H3" s="60">
        <v>2212.0</v>
      </c>
      <c r="I3" s="61" t="s">
        <v>999</v>
      </c>
      <c r="J3" s="62" t="s">
        <v>996</v>
      </c>
      <c r="K3" s="63"/>
      <c r="L3" s="64"/>
    </row>
    <row r="4">
      <c r="A4" s="52" t="s">
        <v>1000</v>
      </c>
      <c r="B4" s="53">
        <v>4.0</v>
      </c>
      <c r="C4" s="54">
        <v>2125.0</v>
      </c>
      <c r="D4" s="55" t="s">
        <v>992</v>
      </c>
      <c r="E4" s="55" t="s">
        <v>1001</v>
      </c>
      <c r="F4" s="54">
        <v>2123.0</v>
      </c>
      <c r="G4" s="55" t="s">
        <v>993</v>
      </c>
      <c r="H4" s="54">
        <v>2213.0</v>
      </c>
      <c r="I4" s="55" t="s">
        <v>1002</v>
      </c>
      <c r="J4" s="56" t="s">
        <v>996</v>
      </c>
      <c r="K4" s="56" t="s">
        <v>1003</v>
      </c>
      <c r="L4" s="58"/>
    </row>
    <row r="5">
      <c r="A5" s="52" t="s">
        <v>1004</v>
      </c>
      <c r="B5" s="59">
        <v>5.0</v>
      </c>
      <c r="C5" s="60">
        <v>2126.0</v>
      </c>
      <c r="D5" s="61" t="s">
        <v>992</v>
      </c>
      <c r="E5" s="61" t="s">
        <v>1005</v>
      </c>
      <c r="F5" s="60">
        <v>2123.0</v>
      </c>
      <c r="G5" s="61" t="s">
        <v>993</v>
      </c>
      <c r="H5" s="60">
        <v>2214.0</v>
      </c>
      <c r="I5" s="61" t="s">
        <v>1006</v>
      </c>
      <c r="J5" s="62" t="s">
        <v>996</v>
      </c>
      <c r="K5" s="63"/>
      <c r="L5" s="64"/>
    </row>
    <row r="6">
      <c r="A6" s="52" t="s">
        <v>1007</v>
      </c>
      <c r="B6" s="53">
        <v>6.0</v>
      </c>
      <c r="C6" s="54">
        <v>2127.0</v>
      </c>
      <c r="D6" s="55" t="s">
        <v>992</v>
      </c>
      <c r="E6" s="55" t="s">
        <v>1008</v>
      </c>
      <c r="F6" s="54">
        <v>2123.0</v>
      </c>
      <c r="G6" s="55" t="s">
        <v>993</v>
      </c>
      <c r="H6" s="54">
        <v>2215.0</v>
      </c>
      <c r="I6" s="55" t="s">
        <v>1009</v>
      </c>
      <c r="J6" s="56" t="s">
        <v>996</v>
      </c>
      <c r="K6" s="57"/>
      <c r="L6" s="58"/>
    </row>
    <row r="7">
      <c r="A7" s="52" t="s">
        <v>1010</v>
      </c>
      <c r="B7" s="59">
        <v>7.0</v>
      </c>
      <c r="C7" s="60">
        <v>2128.0</v>
      </c>
      <c r="D7" s="61" t="s">
        <v>992</v>
      </c>
      <c r="E7" s="61" t="s">
        <v>1011</v>
      </c>
      <c r="F7" s="60">
        <v>2123.0</v>
      </c>
      <c r="G7" s="61" t="s">
        <v>993</v>
      </c>
      <c r="H7" s="60">
        <v>2216.0</v>
      </c>
      <c r="I7" s="61" t="s">
        <v>1012</v>
      </c>
      <c r="J7" s="62" t="s">
        <v>996</v>
      </c>
      <c r="K7" s="63"/>
      <c r="L7" s="64"/>
    </row>
    <row r="8">
      <c r="A8" s="52" t="s">
        <v>1013</v>
      </c>
      <c r="B8" s="53">
        <v>8.0</v>
      </c>
      <c r="C8" s="54">
        <v>2129.0</v>
      </c>
      <c r="D8" s="55" t="s">
        <v>992</v>
      </c>
      <c r="E8" s="55" t="s">
        <v>1014</v>
      </c>
      <c r="F8" s="54">
        <v>2123.0</v>
      </c>
      <c r="G8" s="55" t="s">
        <v>993</v>
      </c>
      <c r="H8" s="54">
        <v>2217.0</v>
      </c>
      <c r="I8" s="55" t="s">
        <v>1015</v>
      </c>
      <c r="J8" s="56" t="s">
        <v>996</v>
      </c>
      <c r="K8" s="57"/>
      <c r="L8" s="58"/>
    </row>
    <row r="9">
      <c r="A9" s="52" t="s">
        <v>1016</v>
      </c>
      <c r="B9" s="59">
        <v>9.0</v>
      </c>
      <c r="C9" s="60">
        <v>2130.0</v>
      </c>
      <c r="D9" s="61" t="s">
        <v>992</v>
      </c>
      <c r="E9" s="61" t="s">
        <v>1017</v>
      </c>
      <c r="F9" s="60">
        <v>2123.0</v>
      </c>
      <c r="G9" s="61" t="s">
        <v>993</v>
      </c>
      <c r="H9" s="60">
        <v>2218.0</v>
      </c>
      <c r="I9" s="61" t="s">
        <v>1018</v>
      </c>
      <c r="J9" s="62" t="s">
        <v>996</v>
      </c>
      <c r="K9" s="61" t="s">
        <v>1019</v>
      </c>
      <c r="L9" s="64"/>
    </row>
    <row r="10">
      <c r="A10" s="52" t="s">
        <v>1020</v>
      </c>
      <c r="B10" s="53">
        <v>10.0</v>
      </c>
      <c r="C10" s="54">
        <v>2131.0</v>
      </c>
      <c r="D10" s="55" t="s">
        <v>992</v>
      </c>
      <c r="E10" s="55" t="s">
        <v>1021</v>
      </c>
      <c r="F10" s="54">
        <v>2123.0</v>
      </c>
      <c r="G10" s="55" t="s">
        <v>993</v>
      </c>
      <c r="H10" s="54">
        <v>2219.0</v>
      </c>
      <c r="I10" s="55" t="s">
        <v>1022</v>
      </c>
      <c r="J10" s="56" t="s">
        <v>996</v>
      </c>
      <c r="K10" s="57"/>
      <c r="L10" s="58"/>
    </row>
    <row r="11">
      <c r="A11" s="52" t="s">
        <v>1023</v>
      </c>
      <c r="B11" s="59">
        <v>11.0</v>
      </c>
      <c r="C11" s="60">
        <v>2132.0</v>
      </c>
      <c r="D11" s="61" t="s">
        <v>992</v>
      </c>
      <c r="E11" s="61" t="s">
        <v>1024</v>
      </c>
      <c r="F11" s="60">
        <v>2122.0</v>
      </c>
      <c r="G11" s="61" t="s">
        <v>994</v>
      </c>
      <c r="H11" s="60">
        <v>2220.0</v>
      </c>
      <c r="I11" s="61" t="s">
        <v>1025</v>
      </c>
      <c r="J11" s="62" t="s">
        <v>1026</v>
      </c>
      <c r="K11" s="63"/>
      <c r="L11" s="64"/>
    </row>
    <row r="12">
      <c r="A12" s="52" t="s">
        <v>1027</v>
      </c>
      <c r="B12" s="53">
        <v>12.0</v>
      </c>
      <c r="C12" s="54">
        <v>2133.0</v>
      </c>
      <c r="D12" s="55" t="s">
        <v>992</v>
      </c>
      <c r="E12" s="55" t="s">
        <v>1028</v>
      </c>
      <c r="F12" s="54">
        <v>2132.0</v>
      </c>
      <c r="G12" s="55" t="s">
        <v>1024</v>
      </c>
      <c r="H12" s="54">
        <v>2221.0</v>
      </c>
      <c r="I12" s="55" t="s">
        <v>1029</v>
      </c>
      <c r="J12" s="56" t="s">
        <v>1026</v>
      </c>
      <c r="K12" s="57"/>
      <c r="L12" s="58"/>
    </row>
    <row r="13">
      <c r="A13" s="52" t="s">
        <v>1030</v>
      </c>
      <c r="B13" s="59">
        <v>13.0</v>
      </c>
      <c r="C13" s="60">
        <v>2134.0</v>
      </c>
      <c r="D13" s="61" t="s">
        <v>992</v>
      </c>
      <c r="E13" s="61" t="s">
        <v>1031</v>
      </c>
      <c r="F13" s="60">
        <v>2132.0</v>
      </c>
      <c r="G13" s="61" t="s">
        <v>1024</v>
      </c>
      <c r="H13" s="60">
        <v>2222.0</v>
      </c>
      <c r="I13" s="61" t="s">
        <v>1032</v>
      </c>
      <c r="J13" s="62" t="s">
        <v>1026</v>
      </c>
      <c r="K13" s="63"/>
      <c r="L13" s="64"/>
    </row>
    <row r="14">
      <c r="A14" s="52" t="s">
        <v>1033</v>
      </c>
      <c r="B14" s="53">
        <v>14.0</v>
      </c>
      <c r="C14" s="54">
        <v>2135.0</v>
      </c>
      <c r="D14" s="55" t="s">
        <v>992</v>
      </c>
      <c r="E14" s="55" t="s">
        <v>1034</v>
      </c>
      <c r="F14" s="54">
        <v>2132.0</v>
      </c>
      <c r="G14" s="55" t="s">
        <v>1024</v>
      </c>
      <c r="H14" s="54">
        <v>2223.0</v>
      </c>
      <c r="I14" s="55" t="s">
        <v>1035</v>
      </c>
      <c r="J14" s="56" t="s">
        <v>1026</v>
      </c>
      <c r="K14" s="57"/>
      <c r="L14" s="58"/>
    </row>
    <row r="15">
      <c r="A15" s="52" t="s">
        <v>1036</v>
      </c>
      <c r="B15" s="59">
        <v>15.0</v>
      </c>
      <c r="C15" s="60">
        <v>2136.0</v>
      </c>
      <c r="D15" s="61" t="s">
        <v>992</v>
      </c>
      <c r="E15" s="61" t="s">
        <v>1037</v>
      </c>
      <c r="F15" s="60">
        <v>2132.0</v>
      </c>
      <c r="G15" s="61" t="s">
        <v>1024</v>
      </c>
      <c r="H15" s="60">
        <v>2224.0</v>
      </c>
      <c r="I15" s="61" t="s">
        <v>1038</v>
      </c>
      <c r="J15" s="62" t="s">
        <v>1026</v>
      </c>
      <c r="K15" s="63"/>
      <c r="L15" s="64"/>
    </row>
    <row r="16">
      <c r="A16" s="52" t="s">
        <v>1039</v>
      </c>
      <c r="B16" s="53">
        <v>16.0</v>
      </c>
      <c r="C16" s="54">
        <v>2137.0</v>
      </c>
      <c r="D16" s="55" t="s">
        <v>992</v>
      </c>
      <c r="E16" s="55" t="s">
        <v>1040</v>
      </c>
      <c r="F16" s="54">
        <v>2132.0</v>
      </c>
      <c r="G16" s="55" t="s">
        <v>1024</v>
      </c>
      <c r="H16" s="54">
        <v>2225.0</v>
      </c>
      <c r="I16" s="55" t="s">
        <v>1041</v>
      </c>
      <c r="J16" s="56" t="s">
        <v>1026</v>
      </c>
      <c r="K16" s="57"/>
      <c r="L16" s="58"/>
    </row>
    <row r="17">
      <c r="A17" s="52" t="s">
        <v>1042</v>
      </c>
      <c r="B17" s="59">
        <v>17.0</v>
      </c>
      <c r="C17" s="60">
        <v>2138.0</v>
      </c>
      <c r="D17" s="61" t="s">
        <v>992</v>
      </c>
      <c r="E17" s="61" t="s">
        <v>1043</v>
      </c>
      <c r="F17" s="60">
        <v>2132.0</v>
      </c>
      <c r="G17" s="61" t="s">
        <v>1024</v>
      </c>
      <c r="H17" s="60">
        <v>2226.0</v>
      </c>
      <c r="I17" s="61" t="s">
        <v>1044</v>
      </c>
      <c r="J17" s="62" t="s">
        <v>1026</v>
      </c>
      <c r="K17" s="63"/>
      <c r="L17" s="64"/>
    </row>
    <row r="18">
      <c r="A18" s="52" t="s">
        <v>1045</v>
      </c>
      <c r="B18" s="53">
        <v>18.0</v>
      </c>
      <c r="C18" s="54">
        <v>2139.0</v>
      </c>
      <c r="D18" s="55" t="s">
        <v>992</v>
      </c>
      <c r="E18" s="55" t="s">
        <v>1046</v>
      </c>
      <c r="F18" s="54">
        <v>2132.0</v>
      </c>
      <c r="G18" s="55" t="s">
        <v>1024</v>
      </c>
      <c r="H18" s="54">
        <v>2227.0</v>
      </c>
      <c r="I18" s="55" t="s">
        <v>1047</v>
      </c>
      <c r="J18" s="56" t="s">
        <v>1026</v>
      </c>
      <c r="K18" s="57"/>
      <c r="L18" s="58"/>
    </row>
    <row r="19">
      <c r="A19" s="52" t="s">
        <v>1048</v>
      </c>
      <c r="B19" s="59">
        <v>19.0</v>
      </c>
      <c r="C19" s="60">
        <v>2140.0</v>
      </c>
      <c r="D19" s="61" t="s">
        <v>992</v>
      </c>
      <c r="E19" s="61" t="s">
        <v>1049</v>
      </c>
      <c r="F19" s="60">
        <v>2132.0</v>
      </c>
      <c r="G19" s="61" t="s">
        <v>1024</v>
      </c>
      <c r="H19" s="60">
        <v>2228.0</v>
      </c>
      <c r="I19" s="61" t="s">
        <v>1050</v>
      </c>
      <c r="J19" s="62" t="s">
        <v>1026</v>
      </c>
      <c r="K19" s="63"/>
      <c r="L19" s="64"/>
    </row>
    <row r="20">
      <c r="A20" s="52" t="s">
        <v>1051</v>
      </c>
      <c r="B20" s="53">
        <v>20.0</v>
      </c>
      <c r="C20" s="54">
        <v>2141.0</v>
      </c>
      <c r="D20" s="55" t="s">
        <v>992</v>
      </c>
      <c r="E20" s="55" t="s">
        <v>1052</v>
      </c>
      <c r="F20" s="54">
        <v>2122.0</v>
      </c>
      <c r="G20" s="55" t="s">
        <v>994</v>
      </c>
      <c r="H20" s="54">
        <v>2229.0</v>
      </c>
      <c r="I20" s="55" t="s">
        <v>1053</v>
      </c>
      <c r="J20" s="56" t="s">
        <v>1019</v>
      </c>
      <c r="K20" s="57"/>
      <c r="L20" s="58"/>
    </row>
    <row r="21">
      <c r="A21" s="52" t="s">
        <v>1054</v>
      </c>
      <c r="B21" s="59">
        <v>21.0</v>
      </c>
      <c r="C21" s="60">
        <v>2142.0</v>
      </c>
      <c r="D21" s="61" t="s">
        <v>992</v>
      </c>
      <c r="E21" s="61" t="s">
        <v>1055</v>
      </c>
      <c r="F21" s="60">
        <v>2141.0</v>
      </c>
      <c r="G21" s="61" t="s">
        <v>1052</v>
      </c>
      <c r="H21" s="60">
        <v>2230.0</v>
      </c>
      <c r="I21" s="61" t="s">
        <v>1056</v>
      </c>
      <c r="J21" s="62" t="s">
        <v>1019</v>
      </c>
      <c r="K21" s="63"/>
      <c r="L21" s="64"/>
    </row>
    <row r="22">
      <c r="A22" s="52" t="s">
        <v>1057</v>
      </c>
      <c r="B22" s="53">
        <v>22.0</v>
      </c>
      <c r="C22" s="54">
        <v>2143.0</v>
      </c>
      <c r="D22" s="55" t="s">
        <v>992</v>
      </c>
      <c r="E22" s="55" t="s">
        <v>1058</v>
      </c>
      <c r="F22" s="54">
        <v>2141.0</v>
      </c>
      <c r="G22" s="55" t="s">
        <v>1052</v>
      </c>
      <c r="H22" s="54">
        <v>2231.0</v>
      </c>
      <c r="I22" s="55" t="s">
        <v>1059</v>
      </c>
      <c r="J22" s="56" t="s">
        <v>1019</v>
      </c>
      <c r="K22" s="57"/>
      <c r="L22" s="58"/>
    </row>
    <row r="23">
      <c r="A23" s="52" t="s">
        <v>1060</v>
      </c>
      <c r="B23" s="59">
        <v>23.0</v>
      </c>
      <c r="C23" s="60">
        <v>2144.0</v>
      </c>
      <c r="D23" s="61" t="s">
        <v>992</v>
      </c>
      <c r="E23" s="61" t="s">
        <v>1061</v>
      </c>
      <c r="F23" s="60">
        <v>2141.0</v>
      </c>
      <c r="G23" s="61" t="s">
        <v>1052</v>
      </c>
      <c r="H23" s="60">
        <v>2232.0</v>
      </c>
      <c r="I23" s="61" t="s">
        <v>1062</v>
      </c>
      <c r="J23" s="62" t="s">
        <v>1019</v>
      </c>
      <c r="K23" s="63"/>
      <c r="L23" s="64"/>
    </row>
    <row r="24">
      <c r="A24" s="52" t="s">
        <v>1063</v>
      </c>
      <c r="B24" s="53">
        <v>24.0</v>
      </c>
      <c r="C24" s="54">
        <v>2145.0</v>
      </c>
      <c r="D24" s="55" t="s">
        <v>992</v>
      </c>
      <c r="E24" s="55" t="s">
        <v>1064</v>
      </c>
      <c r="F24" s="54">
        <v>2141.0</v>
      </c>
      <c r="G24" s="55" t="s">
        <v>1052</v>
      </c>
      <c r="H24" s="54">
        <v>2233.0</v>
      </c>
      <c r="I24" s="55" t="s">
        <v>1065</v>
      </c>
      <c r="J24" s="56" t="s">
        <v>1019</v>
      </c>
      <c r="K24" s="57"/>
      <c r="L24" s="58"/>
    </row>
    <row r="25">
      <c r="A25" s="52" t="s">
        <v>1066</v>
      </c>
      <c r="B25" s="59">
        <v>25.0</v>
      </c>
      <c r="C25" s="60">
        <v>2146.0</v>
      </c>
      <c r="D25" s="61" t="s">
        <v>992</v>
      </c>
      <c r="E25" s="61" t="s">
        <v>1067</v>
      </c>
      <c r="F25" s="60">
        <v>2141.0</v>
      </c>
      <c r="G25" s="61" t="s">
        <v>1052</v>
      </c>
      <c r="H25" s="60">
        <v>2234.0</v>
      </c>
      <c r="I25" s="61" t="s">
        <v>1068</v>
      </c>
      <c r="J25" s="62" t="s">
        <v>1019</v>
      </c>
      <c r="K25" s="63"/>
      <c r="L25" s="64"/>
    </row>
    <row r="26">
      <c r="A26" s="52" t="s">
        <v>1069</v>
      </c>
      <c r="B26" s="53">
        <v>26.0</v>
      </c>
      <c r="C26" s="54">
        <v>2147.0</v>
      </c>
      <c r="D26" s="55" t="s">
        <v>992</v>
      </c>
      <c r="E26" s="55" t="s">
        <v>1070</v>
      </c>
      <c r="F26" s="54">
        <v>2141.0</v>
      </c>
      <c r="G26" s="55" t="s">
        <v>1052</v>
      </c>
      <c r="H26" s="54">
        <v>2235.0</v>
      </c>
      <c r="I26" s="55" t="s">
        <v>1071</v>
      </c>
      <c r="J26" s="56" t="s">
        <v>1019</v>
      </c>
      <c r="K26" s="57"/>
      <c r="L26" s="58"/>
    </row>
    <row r="27">
      <c r="A27" s="52" t="s">
        <v>1072</v>
      </c>
      <c r="B27" s="59">
        <v>27.0</v>
      </c>
      <c r="C27" s="60">
        <v>2148.0</v>
      </c>
      <c r="D27" s="61" t="s">
        <v>992</v>
      </c>
      <c r="E27" s="61" t="s">
        <v>1073</v>
      </c>
      <c r="F27" s="60">
        <v>2141.0</v>
      </c>
      <c r="G27" s="61" t="s">
        <v>1052</v>
      </c>
      <c r="H27" s="60">
        <v>2236.0</v>
      </c>
      <c r="I27" s="61" t="s">
        <v>1074</v>
      </c>
      <c r="J27" s="62" t="s">
        <v>1019</v>
      </c>
      <c r="K27" s="63"/>
      <c r="L27" s="64"/>
    </row>
    <row r="28">
      <c r="A28" s="52" t="s">
        <v>1075</v>
      </c>
      <c r="B28" s="53">
        <v>28.0</v>
      </c>
      <c r="C28" s="54">
        <v>2149.0</v>
      </c>
      <c r="D28" s="55" t="s">
        <v>992</v>
      </c>
      <c r="E28" s="55" t="s">
        <v>1076</v>
      </c>
      <c r="F28" s="54">
        <v>2141.0</v>
      </c>
      <c r="G28" s="55" t="s">
        <v>1052</v>
      </c>
      <c r="H28" s="54">
        <v>2237.0</v>
      </c>
      <c r="I28" s="55" t="s">
        <v>1077</v>
      </c>
      <c r="J28" s="56" t="s">
        <v>1019</v>
      </c>
      <c r="K28" s="57"/>
      <c r="L28" s="58"/>
    </row>
    <row r="29">
      <c r="A29" s="52" t="s">
        <v>1078</v>
      </c>
      <c r="B29" s="59">
        <v>29.0</v>
      </c>
      <c r="C29" s="60">
        <v>2150.0</v>
      </c>
      <c r="D29" s="61" t="s">
        <v>992</v>
      </c>
      <c r="E29" s="61" t="s">
        <v>1079</v>
      </c>
      <c r="F29" s="60">
        <v>2141.0</v>
      </c>
      <c r="G29" s="61" t="s">
        <v>1052</v>
      </c>
      <c r="H29" s="60">
        <v>2238.0</v>
      </c>
      <c r="I29" s="61" t="s">
        <v>1080</v>
      </c>
      <c r="J29" s="62" t="s">
        <v>1019</v>
      </c>
      <c r="K29" s="63"/>
      <c r="L29" s="64"/>
    </row>
    <row r="30">
      <c r="A30" s="52" t="s">
        <v>1081</v>
      </c>
      <c r="B30" s="53">
        <v>30.0</v>
      </c>
      <c r="C30" s="54">
        <v>2151.0</v>
      </c>
      <c r="D30" s="55" t="s">
        <v>992</v>
      </c>
      <c r="E30" s="55" t="s">
        <v>1082</v>
      </c>
      <c r="F30" s="54">
        <v>2122.0</v>
      </c>
      <c r="G30" s="55" t="s">
        <v>994</v>
      </c>
      <c r="H30" s="54">
        <v>2239.0</v>
      </c>
      <c r="I30" s="55" t="s">
        <v>1083</v>
      </c>
      <c r="J30" s="56" t="s">
        <v>1019</v>
      </c>
      <c r="K30" s="57"/>
      <c r="L30" s="58"/>
    </row>
    <row r="31">
      <c r="A31" s="52" t="s">
        <v>1084</v>
      </c>
      <c r="B31" s="59">
        <v>31.0</v>
      </c>
      <c r="C31" s="60">
        <v>2152.0</v>
      </c>
      <c r="D31" s="61" t="s">
        <v>992</v>
      </c>
      <c r="E31" s="61" t="s">
        <v>1085</v>
      </c>
      <c r="F31" s="60">
        <v>2151.0</v>
      </c>
      <c r="G31" s="61" t="s">
        <v>1082</v>
      </c>
      <c r="H31" s="60">
        <v>2240.0</v>
      </c>
      <c r="I31" s="61" t="s">
        <v>1086</v>
      </c>
      <c r="J31" s="62" t="s">
        <v>1019</v>
      </c>
      <c r="K31" s="63"/>
      <c r="L31" s="64"/>
    </row>
    <row r="32">
      <c r="A32" s="52" t="s">
        <v>1087</v>
      </c>
      <c r="B32" s="53">
        <v>32.0</v>
      </c>
      <c r="C32" s="54">
        <v>2153.0</v>
      </c>
      <c r="D32" s="55" t="s">
        <v>992</v>
      </c>
      <c r="E32" s="55" t="s">
        <v>1088</v>
      </c>
      <c r="F32" s="54">
        <v>2151.0</v>
      </c>
      <c r="G32" s="55" t="s">
        <v>1082</v>
      </c>
      <c r="H32" s="54">
        <v>2241.0</v>
      </c>
      <c r="I32" s="55" t="s">
        <v>1089</v>
      </c>
      <c r="J32" s="56" t="s">
        <v>1019</v>
      </c>
      <c r="K32" s="57"/>
      <c r="L32" s="58"/>
    </row>
    <row r="33">
      <c r="A33" s="52" t="s">
        <v>1090</v>
      </c>
      <c r="B33" s="59">
        <v>33.0</v>
      </c>
      <c r="C33" s="60">
        <v>2154.0</v>
      </c>
      <c r="D33" s="61" t="s">
        <v>992</v>
      </c>
      <c r="E33" s="61" t="s">
        <v>1091</v>
      </c>
      <c r="F33" s="60">
        <v>2151.0</v>
      </c>
      <c r="G33" s="61" t="s">
        <v>1082</v>
      </c>
      <c r="H33" s="60">
        <v>2242.0</v>
      </c>
      <c r="I33" s="61" t="s">
        <v>1092</v>
      </c>
      <c r="J33" s="62" t="s">
        <v>1019</v>
      </c>
      <c r="K33" s="63"/>
      <c r="L33" s="64"/>
    </row>
    <row r="34">
      <c r="A34" s="52" t="s">
        <v>1093</v>
      </c>
      <c r="B34" s="53">
        <v>34.0</v>
      </c>
      <c r="C34" s="54">
        <v>2155.0</v>
      </c>
      <c r="D34" s="55" t="s">
        <v>992</v>
      </c>
      <c r="E34" s="55" t="s">
        <v>1094</v>
      </c>
      <c r="F34" s="54">
        <v>2151.0</v>
      </c>
      <c r="G34" s="55" t="s">
        <v>1082</v>
      </c>
      <c r="H34" s="54">
        <v>2243.0</v>
      </c>
      <c r="I34" s="55" t="s">
        <v>1095</v>
      </c>
      <c r="J34" s="56" t="s">
        <v>1019</v>
      </c>
      <c r="K34" s="57"/>
      <c r="L34" s="58"/>
    </row>
    <row r="35">
      <c r="A35" s="52" t="s">
        <v>1096</v>
      </c>
      <c r="B35" s="59">
        <v>35.0</v>
      </c>
      <c r="C35" s="60">
        <v>2156.0</v>
      </c>
      <c r="D35" s="61" t="s">
        <v>992</v>
      </c>
      <c r="E35" s="61" t="s">
        <v>1097</v>
      </c>
      <c r="F35" s="60">
        <v>2151.0</v>
      </c>
      <c r="G35" s="61" t="s">
        <v>1082</v>
      </c>
      <c r="H35" s="60">
        <v>2244.0</v>
      </c>
      <c r="I35" s="61" t="s">
        <v>1098</v>
      </c>
      <c r="J35" s="62" t="s">
        <v>1019</v>
      </c>
      <c r="K35" s="63"/>
      <c r="L35" s="64"/>
    </row>
    <row r="36">
      <c r="A36" s="52" t="s">
        <v>1099</v>
      </c>
      <c r="B36" s="53">
        <v>36.0</v>
      </c>
      <c r="C36" s="54">
        <v>2157.0</v>
      </c>
      <c r="D36" s="55" t="s">
        <v>992</v>
      </c>
      <c r="E36" s="55" t="s">
        <v>1100</v>
      </c>
      <c r="F36" s="54">
        <v>2151.0</v>
      </c>
      <c r="G36" s="55" t="s">
        <v>1082</v>
      </c>
      <c r="H36" s="54">
        <v>2245.0</v>
      </c>
      <c r="I36" s="55" t="s">
        <v>1101</v>
      </c>
      <c r="J36" s="56" t="s">
        <v>1019</v>
      </c>
      <c r="K36" s="57"/>
      <c r="L36" s="58"/>
    </row>
    <row r="37">
      <c r="A37" s="52" t="s">
        <v>1102</v>
      </c>
      <c r="B37" s="59">
        <v>37.0</v>
      </c>
      <c r="C37" s="60">
        <v>2158.0</v>
      </c>
      <c r="D37" s="61" t="s">
        <v>992</v>
      </c>
      <c r="E37" s="61" t="s">
        <v>1103</v>
      </c>
      <c r="F37" s="60">
        <v>2151.0</v>
      </c>
      <c r="G37" s="61" t="s">
        <v>1082</v>
      </c>
      <c r="H37" s="60">
        <v>2246.0</v>
      </c>
      <c r="I37" s="61" t="s">
        <v>1104</v>
      </c>
      <c r="J37" s="62" t="s">
        <v>1019</v>
      </c>
      <c r="K37" s="63"/>
      <c r="L37" s="64"/>
    </row>
    <row r="38">
      <c r="A38" s="52" t="s">
        <v>1105</v>
      </c>
      <c r="B38" s="53">
        <v>38.0</v>
      </c>
      <c r="C38" s="54">
        <v>2159.0</v>
      </c>
      <c r="D38" s="55" t="s">
        <v>992</v>
      </c>
      <c r="E38" s="55" t="s">
        <v>1106</v>
      </c>
      <c r="F38" s="54">
        <v>2151.0</v>
      </c>
      <c r="G38" s="55" t="s">
        <v>1082</v>
      </c>
      <c r="H38" s="54">
        <v>2247.0</v>
      </c>
      <c r="I38" s="55" t="s">
        <v>1107</v>
      </c>
      <c r="J38" s="56" t="s">
        <v>1019</v>
      </c>
      <c r="K38" s="57"/>
      <c r="L38" s="58"/>
    </row>
    <row r="39">
      <c r="A39" s="52" t="s">
        <v>1108</v>
      </c>
      <c r="B39" s="59">
        <v>39.0</v>
      </c>
      <c r="C39" s="60">
        <v>2160.0</v>
      </c>
      <c r="D39" s="61" t="s">
        <v>992</v>
      </c>
      <c r="E39" s="61" t="s">
        <v>1109</v>
      </c>
      <c r="F39" s="60">
        <v>2151.0</v>
      </c>
      <c r="G39" s="61" t="s">
        <v>1082</v>
      </c>
      <c r="H39" s="60">
        <v>2248.0</v>
      </c>
      <c r="I39" s="61" t="s">
        <v>1110</v>
      </c>
      <c r="J39" s="62" t="s">
        <v>1019</v>
      </c>
      <c r="K39" s="63"/>
      <c r="L39" s="64"/>
    </row>
    <row r="40">
      <c r="A40" s="52" t="s">
        <v>1111</v>
      </c>
      <c r="B40" s="53">
        <v>40.0</v>
      </c>
      <c r="C40" s="54">
        <v>2161.0</v>
      </c>
      <c r="D40" s="55" t="s">
        <v>992</v>
      </c>
      <c r="E40" s="55" t="s">
        <v>1112</v>
      </c>
      <c r="F40" s="54">
        <v>2122.0</v>
      </c>
      <c r="G40" s="55" t="s">
        <v>994</v>
      </c>
      <c r="H40" s="54">
        <v>2249.0</v>
      </c>
      <c r="I40" s="55" t="s">
        <v>1113</v>
      </c>
      <c r="J40" s="56" t="s">
        <v>1003</v>
      </c>
      <c r="K40" s="57"/>
      <c r="L40" s="58"/>
    </row>
    <row r="41">
      <c r="A41" s="52" t="s">
        <v>1114</v>
      </c>
      <c r="B41" s="59">
        <v>41.0</v>
      </c>
      <c r="C41" s="60">
        <v>2162.0</v>
      </c>
      <c r="D41" s="61" t="s">
        <v>992</v>
      </c>
      <c r="E41" s="61" t="s">
        <v>1115</v>
      </c>
      <c r="F41" s="60">
        <v>2161.0</v>
      </c>
      <c r="G41" s="61" t="s">
        <v>1112</v>
      </c>
      <c r="H41" s="60">
        <v>2250.0</v>
      </c>
      <c r="I41" s="61" t="s">
        <v>1116</v>
      </c>
      <c r="J41" s="62" t="s">
        <v>1003</v>
      </c>
      <c r="K41" s="63"/>
      <c r="L41" s="64"/>
    </row>
    <row r="42">
      <c r="A42" s="52" t="s">
        <v>1117</v>
      </c>
      <c r="B42" s="53">
        <v>42.0</v>
      </c>
      <c r="C42" s="54">
        <v>2163.0</v>
      </c>
      <c r="D42" s="55" t="s">
        <v>992</v>
      </c>
      <c r="E42" s="55" t="s">
        <v>1118</v>
      </c>
      <c r="F42" s="54">
        <v>2161.0</v>
      </c>
      <c r="G42" s="55" t="s">
        <v>1112</v>
      </c>
      <c r="H42" s="54">
        <v>2251.0</v>
      </c>
      <c r="I42" s="55" t="s">
        <v>1119</v>
      </c>
      <c r="J42" s="56" t="s">
        <v>1003</v>
      </c>
      <c r="K42" s="57"/>
      <c r="L42" s="58"/>
    </row>
    <row r="43">
      <c r="A43" s="52" t="s">
        <v>1120</v>
      </c>
      <c r="B43" s="59">
        <v>43.0</v>
      </c>
      <c r="C43" s="60">
        <v>2164.0</v>
      </c>
      <c r="D43" s="61" t="s">
        <v>992</v>
      </c>
      <c r="E43" s="61" t="s">
        <v>1121</v>
      </c>
      <c r="F43" s="60">
        <v>2161.0</v>
      </c>
      <c r="G43" s="61" t="s">
        <v>1112</v>
      </c>
      <c r="H43" s="60">
        <v>2252.0</v>
      </c>
      <c r="I43" s="61" t="s">
        <v>1122</v>
      </c>
      <c r="J43" s="62" t="s">
        <v>1003</v>
      </c>
      <c r="K43" s="63"/>
      <c r="L43" s="64"/>
    </row>
    <row r="44">
      <c r="A44" s="52" t="s">
        <v>1123</v>
      </c>
      <c r="B44" s="53">
        <v>44.0</v>
      </c>
      <c r="C44" s="54">
        <v>2165.0</v>
      </c>
      <c r="D44" s="55" t="s">
        <v>992</v>
      </c>
      <c r="E44" s="55" t="s">
        <v>1124</v>
      </c>
      <c r="F44" s="54">
        <v>2161.0</v>
      </c>
      <c r="G44" s="55" t="s">
        <v>1112</v>
      </c>
      <c r="H44" s="54">
        <v>2253.0</v>
      </c>
      <c r="I44" s="55" t="s">
        <v>1125</v>
      </c>
      <c r="J44" s="56" t="s">
        <v>1003</v>
      </c>
      <c r="K44" s="57"/>
      <c r="L44" s="58"/>
    </row>
    <row r="45">
      <c r="A45" s="52" t="s">
        <v>1126</v>
      </c>
      <c r="B45" s="59">
        <v>45.0</v>
      </c>
      <c r="C45" s="60">
        <v>2166.0</v>
      </c>
      <c r="D45" s="61" t="s">
        <v>992</v>
      </c>
      <c r="E45" s="61" t="s">
        <v>1127</v>
      </c>
      <c r="F45" s="60">
        <v>2161.0</v>
      </c>
      <c r="G45" s="61" t="s">
        <v>1112</v>
      </c>
      <c r="H45" s="60">
        <v>2254.0</v>
      </c>
      <c r="I45" s="61" t="s">
        <v>1128</v>
      </c>
      <c r="J45" s="62" t="s">
        <v>1003</v>
      </c>
      <c r="K45" s="63"/>
      <c r="L45" s="64"/>
    </row>
    <row r="46">
      <c r="A46" s="52" t="s">
        <v>1129</v>
      </c>
      <c r="B46" s="53">
        <v>47.0</v>
      </c>
      <c r="C46" s="54">
        <v>2168.0</v>
      </c>
      <c r="D46" s="55" t="s">
        <v>992</v>
      </c>
      <c r="E46" s="55" t="s">
        <v>1130</v>
      </c>
      <c r="F46" s="54">
        <v>2161.0</v>
      </c>
      <c r="G46" s="55" t="s">
        <v>1112</v>
      </c>
      <c r="H46" s="54">
        <v>2255.0</v>
      </c>
      <c r="I46" s="55" t="s">
        <v>1131</v>
      </c>
      <c r="J46" s="56" t="s">
        <v>1003</v>
      </c>
      <c r="K46" s="57"/>
      <c r="L46" s="58"/>
    </row>
    <row r="47">
      <c r="A47" s="52" t="s">
        <v>1132</v>
      </c>
      <c r="B47" s="59">
        <v>49.0</v>
      </c>
      <c r="C47" s="60">
        <v>2170.0</v>
      </c>
      <c r="D47" s="61" t="s">
        <v>992</v>
      </c>
      <c r="E47" s="61" t="s">
        <v>1133</v>
      </c>
      <c r="F47" s="60">
        <v>2161.0</v>
      </c>
      <c r="G47" s="61" t="s">
        <v>1112</v>
      </c>
      <c r="H47" s="60">
        <v>2256.0</v>
      </c>
      <c r="I47" s="61" t="s">
        <v>1134</v>
      </c>
      <c r="J47" s="62" t="s">
        <v>1003</v>
      </c>
      <c r="K47" s="63"/>
      <c r="L47" s="64"/>
    </row>
    <row r="48">
      <c r="A48" s="52" t="s">
        <v>1135</v>
      </c>
      <c r="B48" s="53">
        <v>50.0</v>
      </c>
      <c r="C48" s="54">
        <v>2171.0</v>
      </c>
      <c r="D48" s="55" t="s">
        <v>992</v>
      </c>
      <c r="E48" s="55" t="s">
        <v>1136</v>
      </c>
      <c r="F48" s="54">
        <v>2161.0</v>
      </c>
      <c r="G48" s="55" t="s">
        <v>1112</v>
      </c>
      <c r="H48" s="54">
        <v>2257.0</v>
      </c>
      <c r="I48" s="55" t="s">
        <v>1137</v>
      </c>
      <c r="J48" s="56" t="s">
        <v>1003</v>
      </c>
      <c r="K48" s="57"/>
      <c r="L48" s="58"/>
    </row>
    <row r="49">
      <c r="A49" s="52" t="s">
        <v>1138</v>
      </c>
      <c r="B49" s="59">
        <v>51.0</v>
      </c>
      <c r="C49" s="60">
        <v>2172.0</v>
      </c>
      <c r="D49" s="61" t="s">
        <v>992</v>
      </c>
      <c r="E49" s="61" t="s">
        <v>1139</v>
      </c>
      <c r="F49" s="60">
        <v>2161.0</v>
      </c>
      <c r="G49" s="61" t="s">
        <v>1112</v>
      </c>
      <c r="H49" s="60">
        <v>2258.0</v>
      </c>
      <c r="I49" s="61" t="s">
        <v>1140</v>
      </c>
      <c r="J49" s="62" t="s">
        <v>1003</v>
      </c>
      <c r="K49" s="63"/>
      <c r="L49" s="64"/>
    </row>
    <row r="50">
      <c r="A50" s="52" t="s">
        <v>1141</v>
      </c>
      <c r="B50" s="53">
        <v>52.0</v>
      </c>
      <c r="C50" s="54">
        <v>2173.0</v>
      </c>
      <c r="D50" s="55" t="s">
        <v>992</v>
      </c>
      <c r="E50" s="55" t="s">
        <v>1142</v>
      </c>
      <c r="F50" s="54">
        <v>2161.0</v>
      </c>
      <c r="G50" s="55" t="s">
        <v>1112</v>
      </c>
      <c r="H50" s="54">
        <v>2259.0</v>
      </c>
      <c r="I50" s="55" t="s">
        <v>1143</v>
      </c>
      <c r="J50" s="56" t="s">
        <v>1144</v>
      </c>
      <c r="K50" s="57"/>
      <c r="L50" s="58"/>
    </row>
    <row r="51">
      <c r="A51" s="52" t="s">
        <v>1145</v>
      </c>
      <c r="B51" s="59">
        <v>53.0</v>
      </c>
      <c r="C51" s="60">
        <v>2174.0</v>
      </c>
      <c r="D51" s="61" t="s">
        <v>992</v>
      </c>
      <c r="E51" s="61" t="s">
        <v>1146</v>
      </c>
      <c r="F51" s="60">
        <v>2161.0</v>
      </c>
      <c r="G51" s="61" t="s">
        <v>1112</v>
      </c>
      <c r="H51" s="60">
        <v>2260.0</v>
      </c>
      <c r="I51" s="61" t="s">
        <v>1147</v>
      </c>
      <c r="J51" s="62" t="s">
        <v>1144</v>
      </c>
      <c r="K51" s="63"/>
      <c r="L51" s="64"/>
    </row>
    <row r="52">
      <c r="A52" s="52" t="s">
        <v>1148</v>
      </c>
      <c r="B52" s="53">
        <v>54.0</v>
      </c>
      <c r="C52" s="54">
        <v>2175.0</v>
      </c>
      <c r="D52" s="55" t="s">
        <v>992</v>
      </c>
      <c r="E52" s="55" t="s">
        <v>1149</v>
      </c>
      <c r="F52" s="54">
        <v>2161.0</v>
      </c>
      <c r="G52" s="55" t="s">
        <v>1112</v>
      </c>
      <c r="H52" s="54">
        <v>2261.0</v>
      </c>
      <c r="I52" s="55" t="s">
        <v>1150</v>
      </c>
      <c r="J52" s="56" t="s">
        <v>1144</v>
      </c>
      <c r="K52" s="57"/>
      <c r="L52" s="58"/>
    </row>
    <row r="53">
      <c r="A53" s="52" t="s">
        <v>1151</v>
      </c>
      <c r="B53" s="59">
        <v>55.0</v>
      </c>
      <c r="C53" s="60">
        <v>2176.0</v>
      </c>
      <c r="D53" s="61" t="s">
        <v>992</v>
      </c>
      <c r="E53" s="61" t="s">
        <v>1152</v>
      </c>
      <c r="F53" s="60">
        <v>2161.0</v>
      </c>
      <c r="G53" s="61" t="s">
        <v>1112</v>
      </c>
      <c r="H53" s="60">
        <v>2262.0</v>
      </c>
      <c r="I53" s="61" t="s">
        <v>1153</v>
      </c>
      <c r="J53" s="62" t="s">
        <v>1144</v>
      </c>
      <c r="K53" s="63"/>
      <c r="L53" s="64"/>
    </row>
    <row r="54">
      <c r="A54" s="52" t="s">
        <v>1154</v>
      </c>
      <c r="B54" s="53">
        <v>56.0</v>
      </c>
      <c r="C54" s="54">
        <v>2177.0</v>
      </c>
      <c r="D54" s="55" t="s">
        <v>992</v>
      </c>
      <c r="E54" s="55" t="s">
        <v>1155</v>
      </c>
      <c r="F54" s="54">
        <v>2161.0</v>
      </c>
      <c r="G54" s="55" t="s">
        <v>1112</v>
      </c>
      <c r="H54" s="54">
        <v>2263.0</v>
      </c>
      <c r="I54" s="55" t="s">
        <v>1156</v>
      </c>
      <c r="J54" s="56" t="s">
        <v>1144</v>
      </c>
      <c r="K54" s="57"/>
      <c r="L54" s="58"/>
    </row>
    <row r="55">
      <c r="A55" s="52" t="s">
        <v>1157</v>
      </c>
      <c r="B55" s="59">
        <v>57.0</v>
      </c>
      <c r="C55" s="60">
        <v>2178.0</v>
      </c>
      <c r="D55" s="61" t="s">
        <v>992</v>
      </c>
      <c r="E55" s="61" t="s">
        <v>1158</v>
      </c>
      <c r="F55" s="60">
        <v>2161.0</v>
      </c>
      <c r="G55" s="61" t="s">
        <v>1112</v>
      </c>
      <c r="H55" s="60">
        <v>2264.0</v>
      </c>
      <c r="I55" s="61" t="s">
        <v>1159</v>
      </c>
      <c r="J55" s="62" t="s">
        <v>1144</v>
      </c>
      <c r="K55" s="63"/>
      <c r="L55" s="64"/>
    </row>
    <row r="56">
      <c r="A56" s="52" t="s">
        <v>1160</v>
      </c>
      <c r="B56" s="53">
        <v>58.0</v>
      </c>
      <c r="C56" s="54">
        <v>2179.0</v>
      </c>
      <c r="D56" s="55" t="s">
        <v>992</v>
      </c>
      <c r="E56" s="55" t="s">
        <v>1161</v>
      </c>
      <c r="F56" s="54">
        <v>2122.0</v>
      </c>
      <c r="G56" s="55" t="s">
        <v>994</v>
      </c>
      <c r="H56" s="54">
        <v>2265.0</v>
      </c>
      <c r="I56" s="55" t="s">
        <v>1162</v>
      </c>
      <c r="J56" s="56" t="s">
        <v>1144</v>
      </c>
      <c r="K56" s="57"/>
      <c r="L56" s="58"/>
    </row>
    <row r="57">
      <c r="A57" s="52" t="s">
        <v>1163</v>
      </c>
      <c r="B57" s="59">
        <v>59.0</v>
      </c>
      <c r="C57" s="60">
        <v>2180.0</v>
      </c>
      <c r="D57" s="61" t="s">
        <v>992</v>
      </c>
      <c r="E57" s="61" t="s">
        <v>1164</v>
      </c>
      <c r="F57" s="60">
        <v>2179.0</v>
      </c>
      <c r="G57" s="61" t="s">
        <v>1161</v>
      </c>
      <c r="H57" s="60">
        <v>2266.0</v>
      </c>
      <c r="I57" s="61" t="s">
        <v>1165</v>
      </c>
      <c r="J57" s="62" t="s">
        <v>1144</v>
      </c>
      <c r="K57" s="63"/>
      <c r="L57" s="64"/>
    </row>
    <row r="58">
      <c r="A58" s="52" t="s">
        <v>1166</v>
      </c>
      <c r="B58" s="53">
        <v>60.0</v>
      </c>
      <c r="C58" s="54">
        <v>2181.0</v>
      </c>
      <c r="D58" s="55" t="s">
        <v>992</v>
      </c>
      <c r="E58" s="55" t="s">
        <v>1167</v>
      </c>
      <c r="F58" s="54">
        <v>2179.0</v>
      </c>
      <c r="G58" s="55" t="s">
        <v>1161</v>
      </c>
      <c r="H58" s="54">
        <v>2267.0</v>
      </c>
      <c r="I58" s="55" t="s">
        <v>1168</v>
      </c>
      <c r="J58" s="56" t="s">
        <v>1144</v>
      </c>
      <c r="K58" s="57"/>
      <c r="L58" s="58"/>
    </row>
    <row r="59">
      <c r="A59" s="52" t="s">
        <v>1169</v>
      </c>
      <c r="B59" s="59">
        <v>61.0</v>
      </c>
      <c r="C59" s="60">
        <v>2182.0</v>
      </c>
      <c r="D59" s="61" t="s">
        <v>992</v>
      </c>
      <c r="E59" s="61" t="s">
        <v>1170</v>
      </c>
      <c r="F59" s="60">
        <v>2179.0</v>
      </c>
      <c r="G59" s="61" t="s">
        <v>1161</v>
      </c>
      <c r="H59" s="60">
        <v>2268.0</v>
      </c>
      <c r="I59" s="61" t="s">
        <v>1171</v>
      </c>
      <c r="J59" s="62" t="s">
        <v>1144</v>
      </c>
      <c r="K59" s="63"/>
      <c r="L59" s="64"/>
    </row>
    <row r="60">
      <c r="A60" s="52" t="s">
        <v>1172</v>
      </c>
      <c r="B60" s="53">
        <v>62.0</v>
      </c>
      <c r="C60" s="54">
        <v>2183.0</v>
      </c>
      <c r="D60" s="55" t="s">
        <v>992</v>
      </c>
      <c r="E60" s="55" t="s">
        <v>1173</v>
      </c>
      <c r="F60" s="54">
        <v>2179.0</v>
      </c>
      <c r="G60" s="55" t="s">
        <v>1161</v>
      </c>
      <c r="H60" s="54">
        <v>2269.0</v>
      </c>
      <c r="I60" s="55" t="s">
        <v>1174</v>
      </c>
      <c r="J60" s="56" t="s">
        <v>1144</v>
      </c>
      <c r="K60" s="57"/>
      <c r="L60" s="58"/>
    </row>
    <row r="61">
      <c r="A61" s="52" t="s">
        <v>1175</v>
      </c>
      <c r="B61" s="59">
        <v>63.0</v>
      </c>
      <c r="C61" s="60">
        <v>2184.0</v>
      </c>
      <c r="D61" s="61" t="s">
        <v>992</v>
      </c>
      <c r="E61" s="61" t="s">
        <v>1176</v>
      </c>
      <c r="F61" s="60">
        <v>2179.0</v>
      </c>
      <c r="G61" s="61" t="s">
        <v>1161</v>
      </c>
      <c r="H61" s="60">
        <v>2270.0</v>
      </c>
      <c r="I61" s="61" t="s">
        <v>1177</v>
      </c>
      <c r="J61" s="62" t="s">
        <v>1144</v>
      </c>
      <c r="K61" s="63"/>
      <c r="L61" s="64"/>
    </row>
    <row r="62">
      <c r="A62" s="52" t="s">
        <v>1178</v>
      </c>
      <c r="B62" s="53">
        <v>64.0</v>
      </c>
      <c r="C62" s="54">
        <v>2185.0</v>
      </c>
      <c r="D62" s="55" t="s">
        <v>992</v>
      </c>
      <c r="E62" s="55" t="s">
        <v>1179</v>
      </c>
      <c r="F62" s="54">
        <v>2179.0</v>
      </c>
      <c r="G62" s="55" t="s">
        <v>1161</v>
      </c>
      <c r="H62" s="54">
        <v>2271.0</v>
      </c>
      <c r="I62" s="55" t="s">
        <v>1180</v>
      </c>
      <c r="J62" s="56" t="s">
        <v>1144</v>
      </c>
      <c r="K62" s="57"/>
      <c r="L62" s="58"/>
    </row>
    <row r="63">
      <c r="A63" s="52" t="s">
        <v>1181</v>
      </c>
      <c r="B63" s="59">
        <v>65.0</v>
      </c>
      <c r="C63" s="60">
        <v>2186.0</v>
      </c>
      <c r="D63" s="61" t="s">
        <v>992</v>
      </c>
      <c r="E63" s="61" t="s">
        <v>1182</v>
      </c>
      <c r="F63" s="60">
        <v>2179.0</v>
      </c>
      <c r="G63" s="61" t="s">
        <v>1161</v>
      </c>
      <c r="H63" s="60">
        <v>2272.0</v>
      </c>
      <c r="I63" s="61" t="s">
        <v>1183</v>
      </c>
      <c r="J63" s="62" t="s">
        <v>1144</v>
      </c>
      <c r="K63" s="63"/>
      <c r="L63" s="64"/>
    </row>
    <row r="64">
      <c r="A64" s="52" t="s">
        <v>1184</v>
      </c>
      <c r="B64" s="53">
        <v>66.0</v>
      </c>
      <c r="C64" s="54">
        <v>2187.0</v>
      </c>
      <c r="D64" s="55" t="s">
        <v>992</v>
      </c>
      <c r="E64" s="55" t="s">
        <v>1185</v>
      </c>
      <c r="F64" s="54">
        <v>2122.0</v>
      </c>
      <c r="G64" s="55" t="s">
        <v>994</v>
      </c>
      <c r="H64" s="54">
        <v>2273.0</v>
      </c>
      <c r="I64" s="55" t="s">
        <v>1186</v>
      </c>
      <c r="J64" s="56" t="s">
        <v>1144</v>
      </c>
      <c r="K64" s="57"/>
      <c r="L64" s="58"/>
    </row>
    <row r="65">
      <c r="A65" s="52" t="s">
        <v>1187</v>
      </c>
      <c r="B65" s="59">
        <v>67.0</v>
      </c>
      <c r="C65" s="60">
        <v>2188.0</v>
      </c>
      <c r="D65" s="61" t="s">
        <v>992</v>
      </c>
      <c r="E65" s="61" t="s">
        <v>1188</v>
      </c>
      <c r="F65" s="60">
        <v>2187.0</v>
      </c>
      <c r="G65" s="61" t="s">
        <v>1185</v>
      </c>
      <c r="H65" s="60">
        <v>2274.0</v>
      </c>
      <c r="I65" s="61" t="s">
        <v>1189</v>
      </c>
      <c r="J65" s="62" t="s">
        <v>1144</v>
      </c>
      <c r="K65" s="63"/>
      <c r="L65" s="64"/>
    </row>
    <row r="66">
      <c r="A66" s="52" t="s">
        <v>1190</v>
      </c>
      <c r="B66" s="53">
        <v>68.0</v>
      </c>
      <c r="C66" s="54">
        <v>2189.0</v>
      </c>
      <c r="D66" s="55" t="s">
        <v>992</v>
      </c>
      <c r="E66" s="55" t="s">
        <v>1191</v>
      </c>
      <c r="F66" s="54">
        <v>2187.0</v>
      </c>
      <c r="G66" s="55" t="s">
        <v>1185</v>
      </c>
      <c r="H66" s="54">
        <v>2275.0</v>
      </c>
      <c r="I66" s="55" t="s">
        <v>1192</v>
      </c>
      <c r="J66" s="56" t="s">
        <v>1144</v>
      </c>
      <c r="K66" s="57"/>
      <c r="L66" s="58"/>
    </row>
    <row r="67">
      <c r="A67" s="52" t="s">
        <v>1193</v>
      </c>
      <c r="B67" s="59">
        <v>69.0</v>
      </c>
      <c r="C67" s="60">
        <v>2190.0</v>
      </c>
      <c r="D67" s="61" t="s">
        <v>992</v>
      </c>
      <c r="E67" s="61" t="s">
        <v>1194</v>
      </c>
      <c r="F67" s="60">
        <v>2187.0</v>
      </c>
      <c r="G67" s="61" t="s">
        <v>1185</v>
      </c>
      <c r="H67" s="60">
        <v>2276.0</v>
      </c>
      <c r="I67" s="61" t="s">
        <v>1195</v>
      </c>
      <c r="J67" s="62" t="s">
        <v>1144</v>
      </c>
      <c r="K67" s="63"/>
      <c r="L67" s="64"/>
    </row>
    <row r="68">
      <c r="A68" s="52" t="s">
        <v>1196</v>
      </c>
      <c r="B68" s="53">
        <v>70.0</v>
      </c>
      <c r="C68" s="54">
        <v>2191.0</v>
      </c>
      <c r="D68" s="55" t="s">
        <v>992</v>
      </c>
      <c r="E68" s="55" t="s">
        <v>1197</v>
      </c>
      <c r="F68" s="54">
        <v>2187.0</v>
      </c>
      <c r="G68" s="55" t="s">
        <v>1185</v>
      </c>
      <c r="H68" s="54">
        <v>2277.0</v>
      </c>
      <c r="I68" s="55" t="s">
        <v>1198</v>
      </c>
      <c r="J68" s="56" t="s">
        <v>1144</v>
      </c>
      <c r="K68" s="57"/>
      <c r="L68" s="58"/>
    </row>
    <row r="69">
      <c r="A69" s="52" t="s">
        <v>1199</v>
      </c>
      <c r="B69" s="59">
        <v>71.0</v>
      </c>
      <c r="C69" s="60">
        <v>2192.0</v>
      </c>
      <c r="D69" s="61" t="s">
        <v>992</v>
      </c>
      <c r="E69" s="61" t="s">
        <v>1200</v>
      </c>
      <c r="F69" s="60">
        <v>2187.0</v>
      </c>
      <c r="G69" s="61" t="s">
        <v>1185</v>
      </c>
      <c r="H69" s="60">
        <v>2278.0</v>
      </c>
      <c r="I69" s="61" t="s">
        <v>1201</v>
      </c>
      <c r="J69" s="62" t="s">
        <v>1144</v>
      </c>
      <c r="K69" s="63"/>
      <c r="L69" s="64"/>
    </row>
    <row r="70">
      <c r="A70" s="52" t="s">
        <v>1202</v>
      </c>
      <c r="B70" s="53">
        <v>72.0</v>
      </c>
      <c r="C70" s="54">
        <v>2193.0</v>
      </c>
      <c r="D70" s="55" t="s">
        <v>992</v>
      </c>
      <c r="E70" s="55" t="s">
        <v>1203</v>
      </c>
      <c r="F70" s="54">
        <v>2187.0</v>
      </c>
      <c r="G70" s="55" t="s">
        <v>1185</v>
      </c>
      <c r="H70" s="54">
        <v>2279.0</v>
      </c>
      <c r="I70" s="55" t="s">
        <v>1204</v>
      </c>
      <c r="J70" s="56" t="s">
        <v>1144</v>
      </c>
      <c r="K70" s="57"/>
      <c r="L70" s="58"/>
    </row>
    <row r="71">
      <c r="A71" s="52" t="s">
        <v>1205</v>
      </c>
      <c r="B71" s="59">
        <v>73.0</v>
      </c>
      <c r="C71" s="60">
        <v>2194.0</v>
      </c>
      <c r="D71" s="61" t="s">
        <v>992</v>
      </c>
      <c r="E71" s="61" t="s">
        <v>1206</v>
      </c>
      <c r="F71" s="60">
        <v>2187.0</v>
      </c>
      <c r="G71" s="61" t="s">
        <v>1185</v>
      </c>
      <c r="H71" s="60">
        <v>2280.0</v>
      </c>
      <c r="I71" s="61" t="s">
        <v>1207</v>
      </c>
      <c r="J71" s="62" t="s">
        <v>1144</v>
      </c>
      <c r="K71" s="63"/>
      <c r="L71" s="64"/>
    </row>
    <row r="72">
      <c r="A72" s="52" t="s">
        <v>1208</v>
      </c>
      <c r="B72" s="53">
        <v>74.0</v>
      </c>
      <c r="C72" s="54">
        <v>2195.0</v>
      </c>
      <c r="D72" s="55" t="s">
        <v>992</v>
      </c>
      <c r="E72" s="55" t="s">
        <v>1209</v>
      </c>
      <c r="F72" s="54">
        <v>2187.0</v>
      </c>
      <c r="G72" s="55" t="s">
        <v>1185</v>
      </c>
      <c r="H72" s="54">
        <v>2281.0</v>
      </c>
      <c r="I72" s="55" t="s">
        <v>1210</v>
      </c>
      <c r="J72" s="56" t="s">
        <v>1144</v>
      </c>
      <c r="K72" s="57"/>
      <c r="L72" s="58"/>
    </row>
    <row r="73">
      <c r="A73" s="52" t="s">
        <v>1211</v>
      </c>
      <c r="B73" s="59">
        <v>75.0</v>
      </c>
      <c r="C73" s="60">
        <v>2196.0</v>
      </c>
      <c r="D73" s="61" t="s">
        <v>992</v>
      </c>
      <c r="E73" s="61" t="s">
        <v>1212</v>
      </c>
      <c r="F73" s="60">
        <v>2187.0</v>
      </c>
      <c r="G73" s="61" t="s">
        <v>1185</v>
      </c>
      <c r="H73" s="60">
        <v>2282.0</v>
      </c>
      <c r="I73" s="61" t="s">
        <v>1213</v>
      </c>
      <c r="J73" s="62" t="s">
        <v>1144</v>
      </c>
      <c r="K73" s="61" t="s">
        <v>996</v>
      </c>
      <c r="L73" s="65" t="s">
        <v>1019</v>
      </c>
    </row>
    <row r="74">
      <c r="A74" s="52" t="s">
        <v>1214</v>
      </c>
      <c r="B74" s="53">
        <v>76.0</v>
      </c>
      <c r="C74" s="54">
        <v>2197.0</v>
      </c>
      <c r="D74" s="55" t="s">
        <v>992</v>
      </c>
      <c r="E74" s="55" t="s">
        <v>1215</v>
      </c>
      <c r="F74" s="54">
        <v>2187.0</v>
      </c>
      <c r="G74" s="55" t="s">
        <v>1185</v>
      </c>
      <c r="H74" s="54">
        <v>2283.0</v>
      </c>
      <c r="I74" s="55" t="s">
        <v>1216</v>
      </c>
      <c r="J74" s="56" t="s">
        <v>1144</v>
      </c>
      <c r="K74" s="57"/>
      <c r="L74" s="58"/>
    </row>
    <row r="75">
      <c r="A75" s="52" t="s">
        <v>1217</v>
      </c>
      <c r="B75" s="59">
        <v>77.0</v>
      </c>
      <c r="C75" s="60">
        <v>2198.0</v>
      </c>
      <c r="D75" s="61" t="s">
        <v>992</v>
      </c>
      <c r="E75" s="61" t="s">
        <v>1218</v>
      </c>
      <c r="F75" s="60">
        <v>2122.0</v>
      </c>
      <c r="G75" s="61" t="s">
        <v>994</v>
      </c>
      <c r="H75" s="60">
        <v>2284.0</v>
      </c>
      <c r="I75" s="61" t="s">
        <v>1219</v>
      </c>
      <c r="J75" s="62" t="s">
        <v>1144</v>
      </c>
      <c r="K75" s="63"/>
      <c r="L75" s="64"/>
    </row>
    <row r="76">
      <c r="A76" s="52" t="s">
        <v>1220</v>
      </c>
      <c r="B76" s="53">
        <v>78.0</v>
      </c>
      <c r="C76" s="54">
        <v>2199.0</v>
      </c>
      <c r="D76" s="55" t="s">
        <v>992</v>
      </c>
      <c r="E76" s="55" t="s">
        <v>1221</v>
      </c>
      <c r="F76" s="54">
        <v>2198.0</v>
      </c>
      <c r="G76" s="55" t="s">
        <v>1218</v>
      </c>
      <c r="H76" s="54">
        <v>2285.0</v>
      </c>
      <c r="I76" s="55" t="s">
        <v>1222</v>
      </c>
      <c r="J76" s="56" t="s">
        <v>1144</v>
      </c>
      <c r="K76" s="57"/>
      <c r="L76" s="58"/>
    </row>
    <row r="77">
      <c r="A77" s="52" t="s">
        <v>1223</v>
      </c>
      <c r="B77" s="59">
        <v>79.0</v>
      </c>
      <c r="C77" s="60">
        <v>2200.0</v>
      </c>
      <c r="D77" s="61" t="s">
        <v>992</v>
      </c>
      <c r="E77" s="61" t="s">
        <v>1224</v>
      </c>
      <c r="F77" s="60">
        <v>2198.0</v>
      </c>
      <c r="G77" s="61" t="s">
        <v>1218</v>
      </c>
      <c r="H77" s="60">
        <v>2286.0</v>
      </c>
      <c r="I77" s="61" t="s">
        <v>1225</v>
      </c>
      <c r="J77" s="62" t="s">
        <v>1144</v>
      </c>
      <c r="K77" s="63"/>
      <c r="L77" s="64"/>
    </row>
    <row r="78">
      <c r="A78" s="52" t="s">
        <v>1226</v>
      </c>
      <c r="B78" s="53">
        <v>80.0</v>
      </c>
      <c r="C78" s="54">
        <v>2201.0</v>
      </c>
      <c r="D78" s="55" t="s">
        <v>992</v>
      </c>
      <c r="E78" s="55" t="s">
        <v>1227</v>
      </c>
      <c r="F78" s="54">
        <v>2198.0</v>
      </c>
      <c r="G78" s="55" t="s">
        <v>1218</v>
      </c>
      <c r="H78" s="54">
        <v>2287.0</v>
      </c>
      <c r="I78" s="55" t="s">
        <v>1228</v>
      </c>
      <c r="J78" s="56" t="s">
        <v>1144</v>
      </c>
      <c r="K78" s="57"/>
      <c r="L78" s="58"/>
    </row>
    <row r="79">
      <c r="A79" s="52" t="s">
        <v>1229</v>
      </c>
      <c r="B79" s="59">
        <v>81.0</v>
      </c>
      <c r="C79" s="60">
        <v>2202.0</v>
      </c>
      <c r="D79" s="61" t="s">
        <v>992</v>
      </c>
      <c r="E79" s="61" t="s">
        <v>1230</v>
      </c>
      <c r="F79" s="60">
        <v>2122.0</v>
      </c>
      <c r="G79" s="61" t="s">
        <v>994</v>
      </c>
      <c r="H79" s="60">
        <v>2288.0</v>
      </c>
      <c r="I79" s="61" t="s">
        <v>1231</v>
      </c>
      <c r="J79" s="62" t="s">
        <v>1144</v>
      </c>
      <c r="K79" s="63"/>
      <c r="L79" s="64"/>
    </row>
    <row r="80">
      <c r="A80" s="52" t="s">
        <v>1232</v>
      </c>
      <c r="B80" s="53">
        <v>82.0</v>
      </c>
      <c r="C80" s="54">
        <v>2203.0</v>
      </c>
      <c r="D80" s="55" t="s">
        <v>992</v>
      </c>
      <c r="E80" s="55" t="s">
        <v>1233</v>
      </c>
      <c r="F80" s="54">
        <v>2202.0</v>
      </c>
      <c r="G80" s="55" t="s">
        <v>1230</v>
      </c>
      <c r="H80" s="54">
        <v>2289.0</v>
      </c>
      <c r="I80" s="55" t="s">
        <v>1234</v>
      </c>
      <c r="J80" s="55" t="s">
        <v>1235</v>
      </c>
      <c r="K80" s="57"/>
      <c r="L80" s="58"/>
    </row>
    <row r="81">
      <c r="A81" s="52" t="s">
        <v>1236</v>
      </c>
      <c r="B81" s="59">
        <v>83.0</v>
      </c>
      <c r="C81" s="60">
        <v>2204.0</v>
      </c>
      <c r="D81" s="61" t="s">
        <v>992</v>
      </c>
      <c r="E81" s="61" t="s">
        <v>1237</v>
      </c>
      <c r="F81" s="60">
        <v>2202.0</v>
      </c>
      <c r="G81" s="61" t="s">
        <v>1230</v>
      </c>
      <c r="H81" s="60">
        <v>2290.0</v>
      </c>
      <c r="I81" s="61" t="s">
        <v>1238</v>
      </c>
      <c r="J81" s="61" t="s">
        <v>1235</v>
      </c>
      <c r="K81" s="63"/>
      <c r="L81" s="64"/>
    </row>
    <row r="82">
      <c r="A82" s="52" t="s">
        <v>1239</v>
      </c>
      <c r="B82" s="53">
        <v>84.0</v>
      </c>
      <c r="C82" s="54">
        <v>2205.0</v>
      </c>
      <c r="D82" s="55" t="s">
        <v>992</v>
      </c>
      <c r="E82" s="55" t="s">
        <v>1240</v>
      </c>
      <c r="F82" s="54">
        <v>2202.0</v>
      </c>
      <c r="G82" s="55" t="s">
        <v>1230</v>
      </c>
      <c r="H82" s="54">
        <v>2291.0</v>
      </c>
      <c r="I82" s="55" t="s">
        <v>1241</v>
      </c>
      <c r="J82" s="55" t="s">
        <v>1235</v>
      </c>
      <c r="K82" s="57"/>
      <c r="L82" s="58"/>
    </row>
    <row r="83">
      <c r="A83" s="52" t="s">
        <v>1242</v>
      </c>
      <c r="B83" s="59">
        <v>85.0</v>
      </c>
      <c r="C83" s="60">
        <v>2206.0</v>
      </c>
      <c r="D83" s="61" t="s">
        <v>992</v>
      </c>
      <c r="E83" s="61" t="s">
        <v>1243</v>
      </c>
      <c r="F83" s="60">
        <v>2202.0</v>
      </c>
      <c r="G83" s="61" t="s">
        <v>1230</v>
      </c>
      <c r="H83" s="60">
        <v>2292.0</v>
      </c>
      <c r="I83" s="61" t="s">
        <v>1244</v>
      </c>
      <c r="J83" s="61" t="s">
        <v>1235</v>
      </c>
      <c r="K83" s="63"/>
      <c r="L83" s="64"/>
    </row>
    <row r="84">
      <c r="A84" s="52" t="s">
        <v>1245</v>
      </c>
      <c r="B84" s="53">
        <v>86.0</v>
      </c>
      <c r="C84" s="54">
        <v>2207.0</v>
      </c>
      <c r="D84" s="55" t="s">
        <v>992</v>
      </c>
      <c r="E84" s="55" t="s">
        <v>1246</v>
      </c>
      <c r="F84" s="54">
        <v>2202.0</v>
      </c>
      <c r="G84" s="55" t="s">
        <v>1230</v>
      </c>
      <c r="H84" s="54">
        <v>2293.0</v>
      </c>
      <c r="I84" s="55" t="s">
        <v>1247</v>
      </c>
      <c r="J84" s="55" t="s">
        <v>1235</v>
      </c>
      <c r="K84" s="57"/>
      <c r="L84" s="58"/>
    </row>
    <row r="85">
      <c r="A85" s="52" t="s">
        <v>1248</v>
      </c>
      <c r="B85" s="59">
        <v>87.0</v>
      </c>
      <c r="C85" s="60">
        <v>2208.0</v>
      </c>
      <c r="D85" s="61" t="s">
        <v>992</v>
      </c>
      <c r="E85" s="61" t="s">
        <v>1249</v>
      </c>
      <c r="F85" s="60">
        <v>2202.0</v>
      </c>
      <c r="G85" s="61" t="s">
        <v>1230</v>
      </c>
      <c r="H85" s="60">
        <v>2294.0</v>
      </c>
      <c r="I85" s="61" t="s">
        <v>1250</v>
      </c>
      <c r="J85" s="61" t="s">
        <v>1235</v>
      </c>
      <c r="K85" s="63"/>
      <c r="L85" s="64"/>
    </row>
    <row r="86">
      <c r="A86" s="52" t="s">
        <v>1251</v>
      </c>
      <c r="B86" s="53">
        <v>88.0</v>
      </c>
      <c r="C86" s="54">
        <v>2209.0</v>
      </c>
      <c r="D86" s="55" t="s">
        <v>992</v>
      </c>
      <c r="E86" s="55" t="s">
        <v>1252</v>
      </c>
      <c r="F86" s="54">
        <v>2202.0</v>
      </c>
      <c r="G86" s="55" t="s">
        <v>1230</v>
      </c>
      <c r="H86" s="54">
        <v>2295.0</v>
      </c>
      <c r="I86" s="55" t="s">
        <v>1253</v>
      </c>
      <c r="J86" s="55" t="s">
        <v>1235</v>
      </c>
      <c r="K86" s="57"/>
      <c r="L86" s="58"/>
    </row>
    <row r="87">
      <c r="A87" s="52" t="s">
        <v>1254</v>
      </c>
      <c r="B87" s="59">
        <v>175.0</v>
      </c>
      <c r="C87" s="60">
        <v>2296.0</v>
      </c>
      <c r="D87" s="61" t="s">
        <v>992</v>
      </c>
      <c r="E87" s="61" t="s">
        <v>1255</v>
      </c>
      <c r="F87" s="60">
        <v>2141.0</v>
      </c>
      <c r="G87" s="61" t="s">
        <v>1052</v>
      </c>
      <c r="H87" s="60">
        <v>2297.0</v>
      </c>
      <c r="I87" s="61" t="s">
        <v>1256</v>
      </c>
      <c r="J87" s="61" t="s">
        <v>1019</v>
      </c>
      <c r="K87" s="63"/>
      <c r="L87" s="64"/>
    </row>
    <row r="88">
      <c r="A88" s="52" t="s">
        <v>1257</v>
      </c>
      <c r="B88" s="53">
        <v>177.0</v>
      </c>
      <c r="C88" s="54">
        <v>2298.0</v>
      </c>
      <c r="D88" s="55" t="s">
        <v>992</v>
      </c>
      <c r="E88" s="55" t="s">
        <v>1258</v>
      </c>
      <c r="F88" s="54">
        <v>2141.0</v>
      </c>
      <c r="G88" s="55" t="s">
        <v>1052</v>
      </c>
      <c r="H88" s="54">
        <v>2299.0</v>
      </c>
      <c r="I88" s="55" t="s">
        <v>1259</v>
      </c>
      <c r="J88" s="55" t="s">
        <v>1019</v>
      </c>
      <c r="K88" s="57"/>
      <c r="L88" s="58"/>
    </row>
    <row r="89">
      <c r="A89" s="52" t="s">
        <v>1260</v>
      </c>
      <c r="B89" s="59">
        <v>179.0</v>
      </c>
      <c r="C89" s="60">
        <v>2300.0</v>
      </c>
      <c r="D89" s="61" t="s">
        <v>992</v>
      </c>
      <c r="E89" s="61" t="s">
        <v>1261</v>
      </c>
      <c r="F89" s="60">
        <v>2179.0</v>
      </c>
      <c r="G89" s="61" t="s">
        <v>1161</v>
      </c>
      <c r="H89" s="60">
        <v>2301.0</v>
      </c>
      <c r="I89" s="61" t="s">
        <v>1262</v>
      </c>
      <c r="J89" s="61" t="s">
        <v>1144</v>
      </c>
      <c r="K89" s="63"/>
      <c r="L89" s="64"/>
    </row>
    <row r="90">
      <c r="A90" s="52" t="s">
        <v>1263</v>
      </c>
      <c r="B90" s="53">
        <v>181.0</v>
      </c>
      <c r="C90" s="54">
        <v>2302.0</v>
      </c>
      <c r="D90" s="55" t="s">
        <v>992</v>
      </c>
      <c r="E90" s="55" t="s">
        <v>1264</v>
      </c>
      <c r="F90" s="54">
        <v>2179.0</v>
      </c>
      <c r="G90" s="55" t="s">
        <v>1161</v>
      </c>
      <c r="H90" s="54">
        <v>2303.0</v>
      </c>
      <c r="I90" s="55" t="s">
        <v>1265</v>
      </c>
      <c r="J90" s="55" t="s">
        <v>1144</v>
      </c>
      <c r="K90" s="57"/>
      <c r="L90" s="58"/>
    </row>
    <row r="91">
      <c r="A91" s="52" t="s">
        <v>1266</v>
      </c>
      <c r="B91" s="59">
        <v>183.0</v>
      </c>
      <c r="C91" s="60">
        <v>2304.0</v>
      </c>
      <c r="D91" s="61" t="s">
        <v>992</v>
      </c>
      <c r="E91" s="61" t="s">
        <v>1267</v>
      </c>
      <c r="F91" s="60">
        <v>2179.0</v>
      </c>
      <c r="G91" s="61" t="s">
        <v>1161</v>
      </c>
      <c r="H91" s="60">
        <v>2305.0</v>
      </c>
      <c r="I91" s="61" t="s">
        <v>1268</v>
      </c>
      <c r="J91" s="61" t="s">
        <v>1144</v>
      </c>
      <c r="K91" s="63"/>
      <c r="L91" s="64"/>
    </row>
    <row r="92">
      <c r="A92" s="52" t="s">
        <v>1269</v>
      </c>
      <c r="B92" s="53">
        <v>185.0</v>
      </c>
      <c r="C92" s="54">
        <v>2306.0</v>
      </c>
      <c r="D92" s="55" t="s">
        <v>992</v>
      </c>
      <c r="E92" s="55" t="s">
        <v>1270</v>
      </c>
      <c r="F92" s="54">
        <v>2179.0</v>
      </c>
      <c r="G92" s="55" t="s">
        <v>1161</v>
      </c>
      <c r="H92" s="54">
        <v>2307.0</v>
      </c>
      <c r="I92" s="55" t="s">
        <v>1271</v>
      </c>
      <c r="J92" s="55" t="s">
        <v>1144</v>
      </c>
      <c r="K92" s="57"/>
      <c r="L92" s="58"/>
    </row>
    <row r="93">
      <c r="A93" s="52" t="s">
        <v>1272</v>
      </c>
      <c r="B93" s="59">
        <v>187.0</v>
      </c>
      <c r="C93" s="60">
        <v>2308.0</v>
      </c>
      <c r="D93" s="61" t="s">
        <v>992</v>
      </c>
      <c r="E93" s="61" t="s">
        <v>1273</v>
      </c>
      <c r="F93" s="60">
        <v>2179.0</v>
      </c>
      <c r="G93" s="61" t="s">
        <v>1161</v>
      </c>
      <c r="H93" s="60">
        <v>2309.0</v>
      </c>
      <c r="I93" s="61" t="s">
        <v>1274</v>
      </c>
      <c r="J93" s="61" t="s">
        <v>1144</v>
      </c>
      <c r="K93" s="63"/>
      <c r="L93" s="64"/>
    </row>
    <row r="94">
      <c r="A94" s="52" t="s">
        <v>1275</v>
      </c>
      <c r="B94" s="53">
        <v>189.0</v>
      </c>
      <c r="C94" s="54">
        <v>2310.0</v>
      </c>
      <c r="D94" s="55" t="s">
        <v>992</v>
      </c>
      <c r="E94" s="55" t="s">
        <v>1276</v>
      </c>
      <c r="F94" s="54">
        <v>2179.0</v>
      </c>
      <c r="G94" s="55" t="s">
        <v>1161</v>
      </c>
      <c r="H94" s="54">
        <v>2311.0</v>
      </c>
      <c r="I94" s="55" t="s">
        <v>1277</v>
      </c>
      <c r="J94" s="55" t="s">
        <v>1144</v>
      </c>
      <c r="K94" s="57"/>
      <c r="L94" s="58"/>
    </row>
    <row r="95">
      <c r="A95" s="52" t="s">
        <v>1278</v>
      </c>
      <c r="B95" s="59">
        <v>191.0</v>
      </c>
      <c r="C95" s="60">
        <v>2312.0</v>
      </c>
      <c r="D95" s="61" t="s">
        <v>992</v>
      </c>
      <c r="E95" s="61" t="s">
        <v>1279</v>
      </c>
      <c r="F95" s="60">
        <v>2179.0</v>
      </c>
      <c r="G95" s="61" t="s">
        <v>1161</v>
      </c>
      <c r="H95" s="60">
        <v>2313.0</v>
      </c>
      <c r="I95" s="61" t="s">
        <v>1280</v>
      </c>
      <c r="J95" s="61" t="s">
        <v>1144</v>
      </c>
      <c r="K95" s="63"/>
      <c r="L95" s="64"/>
    </row>
    <row r="96">
      <c r="A96" s="52" t="s">
        <v>1281</v>
      </c>
      <c r="B96" s="53">
        <v>193.0</v>
      </c>
      <c r="C96" s="54">
        <v>2314.0</v>
      </c>
      <c r="D96" s="55" t="s">
        <v>992</v>
      </c>
      <c r="E96" s="55" t="s">
        <v>1282</v>
      </c>
      <c r="F96" s="54">
        <v>2179.0</v>
      </c>
      <c r="G96" s="55" t="s">
        <v>1161</v>
      </c>
      <c r="H96" s="54">
        <v>2315.0</v>
      </c>
      <c r="I96" s="55" t="s">
        <v>1283</v>
      </c>
      <c r="J96" s="55" t="s">
        <v>1144</v>
      </c>
      <c r="K96" s="57"/>
      <c r="L96" s="58"/>
    </row>
    <row r="97">
      <c r="A97" s="52" t="s">
        <v>1284</v>
      </c>
      <c r="B97" s="59">
        <v>195.0</v>
      </c>
      <c r="C97" s="60">
        <v>2316.0</v>
      </c>
      <c r="D97" s="61" t="s">
        <v>992</v>
      </c>
      <c r="E97" s="61" t="s">
        <v>1285</v>
      </c>
      <c r="F97" s="60">
        <v>2122.0</v>
      </c>
      <c r="G97" s="61" t="s">
        <v>994</v>
      </c>
      <c r="H97" s="60">
        <v>2318.0</v>
      </c>
      <c r="I97" s="61" t="s">
        <v>1286</v>
      </c>
      <c r="J97" s="61" t="s">
        <v>1019</v>
      </c>
      <c r="K97" s="63"/>
      <c r="L97" s="64"/>
    </row>
    <row r="98">
      <c r="A98" s="52" t="s">
        <v>1287</v>
      </c>
      <c r="B98" s="53">
        <v>196.0</v>
      </c>
      <c r="C98" s="54">
        <v>2317.0</v>
      </c>
      <c r="D98" s="55" t="s">
        <v>992</v>
      </c>
      <c r="E98" s="55" t="s">
        <v>1288</v>
      </c>
      <c r="F98" s="54">
        <v>2122.0</v>
      </c>
      <c r="G98" s="55" t="s">
        <v>994</v>
      </c>
      <c r="H98" s="54">
        <v>2319.0</v>
      </c>
      <c r="I98" s="55" t="s">
        <v>1289</v>
      </c>
      <c r="J98" s="55" t="s">
        <v>1290</v>
      </c>
      <c r="K98" s="57"/>
      <c r="L98" s="5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18.38"/>
    <col customWidth="1" min="5" max="5" width="18.63"/>
    <col customWidth="1" min="7" max="7" width="18.0"/>
    <col customWidth="1" min="8" max="8" width="15.75"/>
  </cols>
  <sheetData>
    <row r="1">
      <c r="A1" s="28" t="s">
        <v>1291</v>
      </c>
      <c r="B1" s="28" t="s">
        <v>1292</v>
      </c>
      <c r="C1" s="28" t="s">
        <v>1293</v>
      </c>
      <c r="D1" s="28" t="s">
        <v>1294</v>
      </c>
      <c r="L1" s="34"/>
    </row>
    <row r="2">
      <c r="A2" s="38" t="s">
        <v>1295</v>
      </c>
      <c r="B2" s="38" t="s">
        <v>1296</v>
      </c>
      <c r="L2" s="66"/>
    </row>
    <row r="3">
      <c r="A3" s="38" t="s">
        <v>1297</v>
      </c>
      <c r="B3" s="38" t="s">
        <v>1298</v>
      </c>
      <c r="L3" s="66"/>
    </row>
    <row r="4">
      <c r="A4" s="38" t="s">
        <v>1299</v>
      </c>
      <c r="B4" s="38" t="s">
        <v>1300</v>
      </c>
      <c r="L4" s="6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1301</v>
      </c>
      <c r="B1" s="28" t="s">
        <v>1292</v>
      </c>
    </row>
    <row r="2">
      <c r="A2" s="38" t="s">
        <v>1296</v>
      </c>
      <c r="B2" s="28" t="s">
        <v>1302</v>
      </c>
    </row>
    <row r="3">
      <c r="A3" s="38" t="s">
        <v>1298</v>
      </c>
      <c r="B3" s="28" t="s">
        <v>1303</v>
      </c>
    </row>
    <row r="4">
      <c r="A4" s="38" t="s">
        <v>1300</v>
      </c>
      <c r="B4" s="28" t="s">
        <v>1304</v>
      </c>
    </row>
    <row r="5">
      <c r="A5" s="38" t="s">
        <v>1305</v>
      </c>
      <c r="B5" s="28" t="s">
        <v>1306</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25"/>
    <col customWidth="1" min="4" max="4" width="16.63"/>
  </cols>
  <sheetData>
    <row r="1">
      <c r="A1" s="28" t="s">
        <v>199</v>
      </c>
      <c r="B1" s="28" t="s">
        <v>1307</v>
      </c>
      <c r="C1" s="28" t="s">
        <v>1308</v>
      </c>
      <c r="D1" s="28" t="s">
        <v>1309</v>
      </c>
      <c r="E1" s="28" t="s">
        <v>1310</v>
      </c>
      <c r="F1" s="28" t="s">
        <v>1311</v>
      </c>
    </row>
    <row r="2">
      <c r="A2" s="38" t="s">
        <v>202</v>
      </c>
      <c r="B2" s="28" t="s">
        <v>1312</v>
      </c>
      <c r="C2" s="28" t="s">
        <v>1313</v>
      </c>
      <c r="D2" s="28" t="s">
        <v>1314</v>
      </c>
      <c r="E2" s="33" t="s">
        <v>1315</v>
      </c>
      <c r="F2" s="28" t="s">
        <v>1316</v>
      </c>
    </row>
    <row r="3">
      <c r="A3" s="28" t="s">
        <v>1317</v>
      </c>
      <c r="B3" s="28" t="s">
        <v>1318</v>
      </c>
      <c r="D3" s="28" t="s">
        <v>1319</v>
      </c>
      <c r="E3" s="33" t="s">
        <v>1320</v>
      </c>
      <c r="F3" s="28" t="s">
        <v>1321</v>
      </c>
    </row>
    <row r="4">
      <c r="A4" s="28" t="s">
        <v>1322</v>
      </c>
      <c r="B4" s="28" t="s">
        <v>1323</v>
      </c>
      <c r="D4" s="28" t="s">
        <v>1324</v>
      </c>
    </row>
    <row r="5">
      <c r="A5" s="28" t="s">
        <v>1325</v>
      </c>
      <c r="B5" s="28" t="s">
        <v>1326</v>
      </c>
      <c r="D5" s="28" t="s">
        <v>1327</v>
      </c>
    </row>
    <row r="6">
      <c r="A6" s="28" t="s">
        <v>1328</v>
      </c>
      <c r="B6" s="28" t="s">
        <v>1329</v>
      </c>
      <c r="D6" s="28" t="s">
        <v>1330</v>
      </c>
    </row>
    <row r="7">
      <c r="A7" s="28" t="s">
        <v>1331</v>
      </c>
      <c r="B7" s="28" t="s">
        <v>1332</v>
      </c>
      <c r="D7" s="28" t="s">
        <v>1333</v>
      </c>
    </row>
    <row r="8">
      <c r="A8" s="28" t="s">
        <v>1334</v>
      </c>
      <c r="B8" s="28" t="s">
        <v>1312</v>
      </c>
      <c r="D8" s="28" t="s">
        <v>1335</v>
      </c>
    </row>
    <row r="9">
      <c r="A9" s="28" t="s">
        <v>1336</v>
      </c>
      <c r="B9" s="28" t="s">
        <v>1337</v>
      </c>
      <c r="D9" s="28" t="s">
        <v>1338</v>
      </c>
    </row>
    <row r="10">
      <c r="A10" s="28" t="s">
        <v>1339</v>
      </c>
      <c r="B10" s="28" t="s">
        <v>1340</v>
      </c>
      <c r="D10" s="28" t="s">
        <v>1341</v>
      </c>
    </row>
    <row r="11">
      <c r="A11" s="28" t="s">
        <v>1342</v>
      </c>
      <c r="B11" s="28" t="s">
        <v>1343</v>
      </c>
      <c r="D11" s="28" t="s">
        <v>1344</v>
      </c>
    </row>
    <row r="12">
      <c r="A12" s="28" t="s">
        <v>1345</v>
      </c>
      <c r="B12" s="28" t="s">
        <v>1346</v>
      </c>
      <c r="D12" s="28" t="s">
        <v>1347</v>
      </c>
    </row>
    <row r="13">
      <c r="A13" s="28" t="s">
        <v>1348</v>
      </c>
      <c r="B13" s="28" t="s">
        <v>1349</v>
      </c>
      <c r="D13" s="28" t="s">
        <v>1350</v>
      </c>
    </row>
    <row r="14">
      <c r="A14" s="36" t="s">
        <v>1351</v>
      </c>
      <c r="B14" s="28" t="s">
        <v>1352</v>
      </c>
      <c r="D14" s="28" t="s">
        <v>1353</v>
      </c>
    </row>
    <row r="15">
      <c r="A15" s="28" t="s">
        <v>1354</v>
      </c>
      <c r="B15" s="28" t="s">
        <v>1355</v>
      </c>
      <c r="D15" s="28" t="s">
        <v>1356</v>
      </c>
    </row>
    <row r="16">
      <c r="A16" s="28" t="s">
        <v>1357</v>
      </c>
      <c r="B16" s="28" t="s">
        <v>1358</v>
      </c>
      <c r="D16" s="28" t="s">
        <v>1359</v>
      </c>
    </row>
    <row r="17">
      <c r="A17" s="28" t="s">
        <v>1360</v>
      </c>
      <c r="B17" s="28" t="s">
        <v>1361</v>
      </c>
      <c r="D17" s="28" t="s">
        <v>1362</v>
      </c>
    </row>
    <row r="18">
      <c r="A18" s="28" t="s">
        <v>1363</v>
      </c>
      <c r="B18" s="28" t="s">
        <v>1364</v>
      </c>
      <c r="C18" s="28" t="s">
        <v>1365</v>
      </c>
      <c r="D18" s="28" t="s">
        <v>1366</v>
      </c>
      <c r="E18" s="33" t="s">
        <v>1367</v>
      </c>
    </row>
  </sheetData>
  <hyperlinks>
    <hyperlink r:id="rId1" ref="E2"/>
    <hyperlink r:id="rId2" ref="E3"/>
    <hyperlink r:id="rId3" ref="E18"/>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6.0"/>
    <col customWidth="1" min="8" max="8" width="23.5"/>
  </cols>
  <sheetData>
    <row r="1">
      <c r="A1" s="30" t="s">
        <v>1368</v>
      </c>
      <c r="B1" s="30" t="s">
        <v>1291</v>
      </c>
      <c r="C1" s="30" t="s">
        <v>1369</v>
      </c>
      <c r="D1" s="30" t="s">
        <v>1370</v>
      </c>
      <c r="E1" s="30" t="s">
        <v>1371</v>
      </c>
      <c r="F1" s="30" t="s">
        <v>1372</v>
      </c>
      <c r="G1" s="30" t="s">
        <v>1373</v>
      </c>
      <c r="H1" s="30" t="s">
        <v>1374</v>
      </c>
      <c r="I1" s="30" t="s">
        <v>1375</v>
      </c>
    </row>
    <row r="2">
      <c r="A2" s="38" t="s">
        <v>1376</v>
      </c>
      <c r="B2" s="38" t="str">
        <f>DEC2HEX(RANDBETWEEN(0, 4294967295), 8)</f>
        <v>B662B86D</v>
      </c>
      <c r="C2" s="28"/>
      <c r="D2" s="28" t="s">
        <v>1377</v>
      </c>
      <c r="E2" s="28" t="s">
        <v>1378</v>
      </c>
      <c r="F2" s="28" t="s">
        <v>1379</v>
      </c>
      <c r="G2" s="28" t="s">
        <v>1380</v>
      </c>
      <c r="H2" s="28" t="s">
        <v>1381</v>
      </c>
      <c r="I2" s="67" t="s">
        <v>1382</v>
      </c>
    </row>
    <row r="3">
      <c r="A3" s="28" t="s">
        <v>1383</v>
      </c>
      <c r="B3" s="8" t="str">
        <f t="shared" ref="B3:B5" si="1">DEC2HEX(RANDBETWEEN(0, 4294967295), 8)</f>
        <v>85971C49</v>
      </c>
      <c r="C3" s="28"/>
      <c r="D3" s="28" t="s">
        <v>1384</v>
      </c>
      <c r="E3" s="28" t="s">
        <v>1385</v>
      </c>
      <c r="F3" s="28" t="s">
        <v>1384</v>
      </c>
      <c r="G3" s="28" t="b">
        <v>0</v>
      </c>
      <c r="H3" s="28" t="s">
        <v>1386</v>
      </c>
      <c r="I3" s="28" t="s">
        <v>1382</v>
      </c>
    </row>
    <row r="4">
      <c r="A4" s="28" t="s">
        <v>1387</v>
      </c>
      <c r="B4" s="8" t="str">
        <f t="shared" si="1"/>
        <v>C35A48F1</v>
      </c>
      <c r="C4" s="28"/>
      <c r="D4" s="28" t="s">
        <v>1384</v>
      </c>
      <c r="E4" s="28" t="s">
        <v>1385</v>
      </c>
      <c r="F4" s="28" t="s">
        <v>1384</v>
      </c>
      <c r="G4" s="28" t="b">
        <v>0</v>
      </c>
      <c r="H4" s="28" t="s">
        <v>1386</v>
      </c>
      <c r="I4" s="28" t="s">
        <v>1382</v>
      </c>
    </row>
    <row r="5">
      <c r="A5" s="28" t="s">
        <v>1388</v>
      </c>
      <c r="B5" s="8" t="str">
        <f t="shared" si="1"/>
        <v>7ECEC354</v>
      </c>
      <c r="C5" s="28"/>
      <c r="D5" s="28" t="s">
        <v>1384</v>
      </c>
      <c r="E5" s="28" t="s">
        <v>1385</v>
      </c>
      <c r="F5" s="28" t="s">
        <v>1384</v>
      </c>
      <c r="G5" s="28" t="b">
        <v>0</v>
      </c>
      <c r="H5" s="28" t="s">
        <v>1389</v>
      </c>
      <c r="I5" s="28" t="s">
        <v>1390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1391</v>
      </c>
      <c r="B1" s="30" t="s">
        <v>1392</v>
      </c>
    </row>
    <row r="2">
      <c r="A2" s="67" t="s">
        <v>1393</v>
      </c>
      <c r="B2" s="28" t="s">
        <v>1394</v>
      </c>
    </row>
    <row r="3">
      <c r="A3" s="67" t="s">
        <v>1395</v>
      </c>
      <c r="B3" s="28" t="s">
        <v>1396</v>
      </c>
    </row>
    <row r="4">
      <c r="A4" s="67" t="s">
        <v>1397</v>
      </c>
      <c r="B4" s="28" t="s">
        <v>1398</v>
      </c>
    </row>
    <row r="5">
      <c r="A5" s="67" t="s">
        <v>1399</v>
      </c>
      <c r="B5" s="28" t="s">
        <v>1400</v>
      </c>
    </row>
    <row r="6">
      <c r="A6" s="67"/>
    </row>
    <row r="7">
      <c r="A7" s="67"/>
    </row>
    <row r="8">
      <c r="A8" s="67"/>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1401</v>
      </c>
      <c r="B1" s="28" t="s">
        <v>1402</v>
      </c>
      <c r="C1" s="38" t="s">
        <v>1403</v>
      </c>
      <c r="D1" s="38" t="s">
        <v>1404</v>
      </c>
      <c r="E1" s="28" t="s">
        <v>1405</v>
      </c>
    </row>
    <row r="2">
      <c r="A2" s="67" t="s">
        <v>1406</v>
      </c>
      <c r="B2" s="47">
        <v>1.0</v>
      </c>
      <c r="C2" s="68">
        <v>0.0</v>
      </c>
      <c r="D2" s="68">
        <v>11600.0</v>
      </c>
      <c r="E2" s="28" t="s">
        <v>1407</v>
      </c>
    </row>
    <row r="3">
      <c r="A3" s="67" t="s">
        <v>1382</v>
      </c>
      <c r="B3" s="47">
        <v>2.0</v>
      </c>
      <c r="C3" s="68">
        <v>11601.0</v>
      </c>
      <c r="D3" s="68">
        <v>47150.0</v>
      </c>
      <c r="E3" s="28" t="s">
        <v>1408</v>
      </c>
    </row>
    <row r="4">
      <c r="A4" s="67" t="s">
        <v>1390</v>
      </c>
      <c r="B4" s="47">
        <v>3.0</v>
      </c>
      <c r="C4" s="68">
        <v>47151.0</v>
      </c>
      <c r="D4" s="68">
        <v>100525.0</v>
      </c>
      <c r="E4" s="28" t="s">
        <v>1409</v>
      </c>
    </row>
    <row r="5">
      <c r="A5" s="67" t="s">
        <v>1410</v>
      </c>
      <c r="B5" s="47">
        <v>4.0</v>
      </c>
      <c r="C5" s="68">
        <v>100526.0</v>
      </c>
      <c r="D5" s="68">
        <v>191950.0</v>
      </c>
      <c r="E5" s="28" t="s">
        <v>1411</v>
      </c>
    </row>
    <row r="6">
      <c r="A6" s="67" t="s">
        <v>1412</v>
      </c>
      <c r="B6" s="47">
        <v>5.0</v>
      </c>
      <c r="C6" s="68">
        <v>191951.0</v>
      </c>
      <c r="D6" s="68">
        <v>243725.0</v>
      </c>
      <c r="E6" s="28" t="s">
        <v>1413</v>
      </c>
    </row>
    <row r="7">
      <c r="A7" s="67" t="s">
        <v>1414</v>
      </c>
      <c r="B7" s="47">
        <v>6.0</v>
      </c>
      <c r="C7" s="68">
        <v>243726.0</v>
      </c>
      <c r="D7" s="68">
        <v>609350.0</v>
      </c>
      <c r="E7" s="28" t="s">
        <v>1415</v>
      </c>
    </row>
    <row r="8">
      <c r="A8" s="67" t="s">
        <v>1416</v>
      </c>
      <c r="B8" s="47">
        <v>7.0</v>
      </c>
      <c r="C8" s="68"/>
      <c r="E8" s="28" t="s">
        <v>1417</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1418</v>
      </c>
      <c r="B1" s="30" t="s">
        <v>1419</v>
      </c>
    </row>
    <row r="2">
      <c r="A2" s="38" t="s">
        <v>1420</v>
      </c>
      <c r="B2" s="28" t="s">
        <v>1381</v>
      </c>
    </row>
    <row r="3">
      <c r="A3" s="38" t="s">
        <v>1421</v>
      </c>
      <c r="B3" s="28" t="s">
        <v>1389</v>
      </c>
    </row>
    <row r="4">
      <c r="A4" s="38" t="s">
        <v>1422</v>
      </c>
      <c r="B4" s="28" t="s">
        <v>1386</v>
      </c>
    </row>
    <row r="5">
      <c r="A5" s="38" t="s">
        <v>1423</v>
      </c>
      <c r="B5" s="28" t="s">
        <v>1424</v>
      </c>
    </row>
    <row r="6">
      <c r="A6" s="38" t="s">
        <v>1425</v>
      </c>
      <c r="B6" s="28" t="s">
        <v>1426</v>
      </c>
    </row>
    <row r="7">
      <c r="A7" s="38" t="s">
        <v>1427</v>
      </c>
      <c r="B7" s="28" t="s">
        <v>1428</v>
      </c>
    </row>
    <row r="8">
      <c r="A8" s="38" t="s">
        <v>1429</v>
      </c>
      <c r="B8" s="28" t="s">
        <v>1430</v>
      </c>
    </row>
    <row r="9">
      <c r="A9" s="38" t="s">
        <v>1431</v>
      </c>
      <c r="B9" s="28" t="s">
        <v>1432</v>
      </c>
    </row>
    <row r="10">
      <c r="A10" s="38" t="s">
        <v>1433</v>
      </c>
      <c r="B10" s="28" t="s">
        <v>1434</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1435</v>
      </c>
      <c r="B1" s="30" t="s">
        <v>1436</v>
      </c>
    </row>
    <row r="2">
      <c r="A2" s="69" t="s">
        <v>1437</v>
      </c>
      <c r="B2" s="28" t="s">
        <v>1438</v>
      </c>
    </row>
    <row r="3">
      <c r="A3" s="69" t="s">
        <v>1384</v>
      </c>
      <c r="B3" s="28" t="s">
        <v>1439</v>
      </c>
    </row>
    <row r="4">
      <c r="A4" s="69" t="s">
        <v>1440</v>
      </c>
      <c r="B4" s="28" t="s">
        <v>1441</v>
      </c>
    </row>
    <row r="5">
      <c r="A5" s="69" t="s">
        <v>1442</v>
      </c>
      <c r="B5" s="28" t="s">
        <v>1443</v>
      </c>
    </row>
    <row r="6">
      <c r="A6" s="70"/>
    </row>
    <row r="7">
      <c r="A7" s="70"/>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1444</v>
      </c>
      <c r="B1" s="30" t="s">
        <v>1372</v>
      </c>
    </row>
    <row r="2">
      <c r="A2" s="28" t="s">
        <v>1437</v>
      </c>
      <c r="B2" s="28" t="s">
        <v>1445</v>
      </c>
    </row>
    <row r="3">
      <c r="A3" s="28" t="s">
        <v>1384</v>
      </c>
      <c r="B3" s="28" t="s">
        <v>1446</v>
      </c>
    </row>
    <row r="4">
      <c r="A4" s="28" t="s">
        <v>1440</v>
      </c>
      <c r="B4" s="28" t="s">
        <v>1447</v>
      </c>
    </row>
    <row r="5">
      <c r="A5" s="28" t="s">
        <v>1442</v>
      </c>
      <c r="B5" s="28" t="s">
        <v>1448</v>
      </c>
    </row>
    <row r="6">
      <c r="A6" s="28" t="s">
        <v>1449</v>
      </c>
      <c r="B6" s="28" t="s">
        <v>1450</v>
      </c>
    </row>
    <row r="7">
      <c r="A7" s="28" t="s">
        <v>1451</v>
      </c>
      <c r="B7" s="28" t="s">
        <v>1400</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1452</v>
      </c>
      <c r="B1" s="30" t="s">
        <v>1371</v>
      </c>
    </row>
    <row r="2">
      <c r="A2" s="28" t="s">
        <v>1453</v>
      </c>
      <c r="B2" s="28" t="s">
        <v>1454</v>
      </c>
    </row>
    <row r="3">
      <c r="A3" s="28" t="s">
        <v>1385</v>
      </c>
      <c r="B3" s="28" t="s">
        <v>1455</v>
      </c>
    </row>
    <row r="4">
      <c r="A4" s="28" t="s">
        <v>1456</v>
      </c>
      <c r="B4" s="28" t="s">
        <v>1457</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1458</v>
      </c>
      <c r="B1" s="30" t="s">
        <v>1370</v>
      </c>
    </row>
    <row r="2">
      <c r="A2" s="69" t="s">
        <v>1437</v>
      </c>
      <c r="B2" s="28" t="s">
        <v>1377</v>
      </c>
    </row>
    <row r="3">
      <c r="A3" s="69" t="s">
        <v>1384</v>
      </c>
      <c r="B3" s="28" t="s">
        <v>1459</v>
      </c>
    </row>
    <row r="4">
      <c r="A4" s="69" t="s">
        <v>1440</v>
      </c>
      <c r="B4" s="28" t="s">
        <v>1460</v>
      </c>
    </row>
    <row r="5">
      <c r="A5" s="69" t="s">
        <v>1442</v>
      </c>
      <c r="B5" s="28" t="s">
        <v>1461</v>
      </c>
    </row>
    <row r="6">
      <c r="A6" s="69" t="s">
        <v>1449</v>
      </c>
      <c r="B6" s="28" t="s">
        <v>1462</v>
      </c>
    </row>
    <row r="7">
      <c r="A7" s="69" t="s">
        <v>1451</v>
      </c>
      <c r="B7" s="28" t="s">
        <v>1400</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1463</v>
      </c>
      <c r="B1" s="30" t="s">
        <v>1464</v>
      </c>
      <c r="C1" s="30" t="s">
        <v>1465</v>
      </c>
      <c r="D1" s="30" t="s">
        <v>1466</v>
      </c>
      <c r="E1" s="30" t="s">
        <v>1467</v>
      </c>
      <c r="F1" s="30" t="s">
        <v>1468</v>
      </c>
      <c r="G1" s="30" t="s">
        <v>1469</v>
      </c>
      <c r="H1" s="30" t="s">
        <v>1470</v>
      </c>
      <c r="I1" s="30" t="s">
        <v>199</v>
      </c>
      <c r="J1" s="30" t="s">
        <v>134</v>
      </c>
      <c r="K1" s="30" t="s">
        <v>1471</v>
      </c>
      <c r="L1" s="34" t="s">
        <v>1472</v>
      </c>
      <c r="M1" s="30" t="s">
        <v>1473</v>
      </c>
    </row>
    <row r="2">
      <c r="A2" s="28" t="s">
        <v>1474</v>
      </c>
      <c r="B2" s="28" t="s">
        <v>1475</v>
      </c>
      <c r="C2" s="28" t="s">
        <v>1476</v>
      </c>
      <c r="D2" s="28"/>
      <c r="E2" s="28" t="s">
        <v>1477</v>
      </c>
      <c r="F2" s="28"/>
      <c r="G2" s="28" t="s">
        <v>1478</v>
      </c>
      <c r="H2" s="70"/>
      <c r="I2" s="70"/>
      <c r="J2" s="70"/>
      <c r="K2" s="70" t="s">
        <v>1479</v>
      </c>
      <c r="L2" s="66" t="s">
        <v>1480</v>
      </c>
      <c r="M2" s="28" t="s">
        <v>1477</v>
      </c>
    </row>
    <row r="3">
      <c r="A3" s="28" t="s">
        <v>1481</v>
      </c>
      <c r="B3" s="28" t="s">
        <v>1482</v>
      </c>
      <c r="C3" s="28" t="s">
        <v>1483</v>
      </c>
      <c r="D3" s="28"/>
      <c r="E3" s="28" t="s">
        <v>1484</v>
      </c>
      <c r="F3" s="28"/>
      <c r="G3" s="28" t="s">
        <v>1485</v>
      </c>
      <c r="H3" s="70"/>
      <c r="I3" s="70"/>
      <c r="J3" s="70"/>
      <c r="K3" s="70" t="s">
        <v>1486</v>
      </c>
      <c r="M3" s="28" t="s">
        <v>1484</v>
      </c>
    </row>
    <row r="4">
      <c r="A4" s="8" t="s">
        <v>1487</v>
      </c>
      <c r="B4" s="28" t="s">
        <v>1488</v>
      </c>
      <c r="C4" s="28" t="s">
        <v>1489</v>
      </c>
      <c r="D4" s="71"/>
      <c r="E4" s="72" t="s">
        <v>1490</v>
      </c>
      <c r="F4" s="72"/>
      <c r="G4" s="72" t="s">
        <v>1491</v>
      </c>
      <c r="H4" s="71"/>
      <c r="I4" s="71"/>
      <c r="J4" s="72" t="s">
        <v>201</v>
      </c>
    </row>
    <row r="5">
      <c r="A5" s="8" t="s">
        <v>1492</v>
      </c>
      <c r="B5" s="28" t="s">
        <v>1493</v>
      </c>
      <c r="C5" s="28" t="s">
        <v>1494</v>
      </c>
      <c r="D5" s="71"/>
      <c r="E5" s="72" t="s">
        <v>1495</v>
      </c>
      <c r="F5" s="72"/>
      <c r="G5" s="72" t="s">
        <v>1496</v>
      </c>
      <c r="H5" s="71"/>
      <c r="I5" s="71"/>
      <c r="J5" s="72" t="s">
        <v>1497</v>
      </c>
    </row>
    <row r="6">
      <c r="A6" s="8" t="s">
        <v>1498</v>
      </c>
      <c r="B6" s="28" t="s">
        <v>1499</v>
      </c>
      <c r="C6" s="28" t="s">
        <v>1500</v>
      </c>
      <c r="D6" s="71"/>
      <c r="E6" s="72" t="s">
        <v>1501</v>
      </c>
      <c r="F6" s="72"/>
      <c r="G6" s="72" t="s">
        <v>1502</v>
      </c>
      <c r="H6" s="71"/>
      <c r="I6" s="71"/>
      <c r="J6" s="72" t="s">
        <v>1503</v>
      </c>
    </row>
    <row r="7">
      <c r="A7" s="8" t="s">
        <v>1504</v>
      </c>
      <c r="B7" s="28" t="s">
        <v>1505</v>
      </c>
      <c r="C7" s="28" t="s">
        <v>1506</v>
      </c>
    </row>
    <row r="8">
      <c r="A8" s="8" t="s">
        <v>1507</v>
      </c>
      <c r="B8" s="28" t="s">
        <v>1508</v>
      </c>
      <c r="C8" s="28" t="s">
        <v>1509</v>
      </c>
    </row>
    <row r="9">
      <c r="A9" s="8" t="s">
        <v>1510</v>
      </c>
      <c r="B9" s="28" t="s">
        <v>1511</v>
      </c>
      <c r="C9" s="28" t="s">
        <v>1512</v>
      </c>
    </row>
    <row r="10">
      <c r="A10" s="28" t="s">
        <v>1314</v>
      </c>
      <c r="B10" s="28" t="s">
        <v>1513</v>
      </c>
      <c r="C10" s="28" t="s">
        <v>1514</v>
      </c>
      <c r="D10" s="28"/>
      <c r="E10" s="28" t="s">
        <v>1515</v>
      </c>
      <c r="I10" s="38" t="s">
        <v>202</v>
      </c>
    </row>
    <row r="11">
      <c r="A11" s="28" t="s">
        <v>1516</v>
      </c>
      <c r="B11" s="28" t="s">
        <v>1517</v>
      </c>
      <c r="C11" s="36" t="s">
        <v>1518</v>
      </c>
    </row>
    <row r="12">
      <c r="A12" s="28" t="s">
        <v>1519</v>
      </c>
      <c r="B12" s="28" t="s">
        <v>1520</v>
      </c>
      <c r="C12" s="28" t="s">
        <v>1521</v>
      </c>
    </row>
    <row r="13">
      <c r="A13" s="28" t="s">
        <v>1522</v>
      </c>
      <c r="B13" s="28" t="s">
        <v>1523</v>
      </c>
      <c r="C13" s="28" t="s">
        <v>1524</v>
      </c>
    </row>
    <row r="14">
      <c r="A14" s="28" t="s">
        <v>1525</v>
      </c>
      <c r="B14" s="28" t="s">
        <v>1526</v>
      </c>
      <c r="C14" s="36" t="s">
        <v>1527</v>
      </c>
      <c r="D14" s="28"/>
      <c r="E14" s="28" t="s">
        <v>1528</v>
      </c>
      <c r="G14" s="28">
        <v>3.333333333E9</v>
      </c>
      <c r="L14" s="36" t="s">
        <v>1529</v>
      </c>
    </row>
    <row r="15">
      <c r="A15" s="28" t="s">
        <v>1530</v>
      </c>
      <c r="B15" s="28" t="s">
        <v>1531</v>
      </c>
      <c r="C15" s="28" t="s">
        <v>1532</v>
      </c>
      <c r="D15" s="28"/>
      <c r="E15" s="28" t="s">
        <v>1533</v>
      </c>
      <c r="G15" s="28">
        <v>3.607640279E9</v>
      </c>
      <c r="L15" s="36" t="s">
        <v>1534</v>
      </c>
    </row>
    <row r="16">
      <c r="A16" s="28" t="s">
        <v>1535</v>
      </c>
      <c r="B16" s="28" t="s">
        <v>1536</v>
      </c>
      <c r="C16" s="28" t="s">
        <v>1537</v>
      </c>
      <c r="D16" s="28"/>
      <c r="E16" s="28" t="s">
        <v>1538</v>
      </c>
      <c r="G16" s="28">
        <v>7.209800022E9</v>
      </c>
      <c r="L16" s="28" t="s">
        <v>1539</v>
      </c>
    </row>
    <row r="17">
      <c r="A17" s="28" t="s">
        <v>1540</v>
      </c>
      <c r="B17" s="28" t="s">
        <v>1541</v>
      </c>
      <c r="C17" s="28" t="s">
        <v>1542</v>
      </c>
      <c r="D17" s="28"/>
      <c r="E17" s="28" t="s">
        <v>1543</v>
      </c>
      <c r="G17" s="28">
        <v>3.333333333E9</v>
      </c>
      <c r="L17" s="28" t="s">
        <v>1544</v>
      </c>
    </row>
    <row r="18">
      <c r="A18" s="28" t="s">
        <v>1545</v>
      </c>
      <c r="B18" s="28" t="s">
        <v>1526</v>
      </c>
      <c r="C18" s="28" t="s">
        <v>1546</v>
      </c>
      <c r="D18" s="28"/>
      <c r="E18" s="28" t="s">
        <v>1547</v>
      </c>
      <c r="G18" s="28">
        <v>7.894561233E9</v>
      </c>
      <c r="L18" s="36" t="s">
        <v>1548</v>
      </c>
    </row>
    <row r="19">
      <c r="A19" s="36" t="s">
        <v>1549</v>
      </c>
      <c r="B19" s="28" t="s">
        <v>1475</v>
      </c>
      <c r="C19" s="28" t="s">
        <v>1476</v>
      </c>
      <c r="D19" s="28"/>
      <c r="E19" s="28" t="s">
        <v>1550</v>
      </c>
      <c r="G19" s="28">
        <v>3.607640279E9</v>
      </c>
      <c r="L19" s="28" t="s">
        <v>1551</v>
      </c>
      <c r="M19" s="28" t="s">
        <v>1550</v>
      </c>
    </row>
    <row r="20">
      <c r="A20" s="28" t="s">
        <v>1552</v>
      </c>
      <c r="B20" s="28" t="s">
        <v>1553</v>
      </c>
      <c r="D20" s="28"/>
      <c r="E20" s="28" t="s">
        <v>1554</v>
      </c>
      <c r="G20" s="28" t="s">
        <v>1555</v>
      </c>
      <c r="L20" s="28" t="s">
        <v>1556</v>
      </c>
    </row>
    <row r="21">
      <c r="A21" s="28" t="s">
        <v>216</v>
      </c>
      <c r="B21" s="28" t="s">
        <v>1557</v>
      </c>
      <c r="C21" s="28" t="s">
        <v>1558</v>
      </c>
      <c r="D21" s="28" t="s">
        <v>1394</v>
      </c>
      <c r="E21" s="28" t="s">
        <v>1559</v>
      </c>
      <c r="G21" s="28">
        <v>8.173051132E9</v>
      </c>
      <c r="L21" s="28" t="s">
        <v>1560</v>
      </c>
      <c r="M21" s="28" t="s">
        <v>1559</v>
      </c>
    </row>
    <row r="22">
      <c r="A22" s="28" t="s">
        <v>211</v>
      </c>
      <c r="B22" s="28" t="s">
        <v>1561</v>
      </c>
      <c r="C22" s="28" t="s">
        <v>1562</v>
      </c>
      <c r="D22" s="28" t="s">
        <v>1394</v>
      </c>
      <c r="E22" s="28" t="s">
        <v>1563</v>
      </c>
      <c r="G22" s="28">
        <v>3.609705775E9</v>
      </c>
      <c r="L22" s="28" t="s">
        <v>1564</v>
      </c>
      <c r="M22" s="28" t="s">
        <v>1563</v>
      </c>
    </row>
    <row r="23">
      <c r="A23" s="28" t="s">
        <v>1565</v>
      </c>
      <c r="B23" s="28" t="s">
        <v>1566</v>
      </c>
      <c r="C23" s="28" t="s">
        <v>1567</v>
      </c>
      <c r="D23" s="28" t="s">
        <v>1398</v>
      </c>
      <c r="E23" s="28" t="s">
        <v>1568</v>
      </c>
      <c r="M23" s="28" t="s">
        <v>1569</v>
      </c>
    </row>
    <row r="24">
      <c r="A24" s="28" t="s">
        <v>1570</v>
      </c>
      <c r="B24" s="28" t="s">
        <v>1482</v>
      </c>
      <c r="C24" s="28" t="s">
        <v>1483</v>
      </c>
      <c r="D24" s="28" t="s">
        <v>1394</v>
      </c>
      <c r="G24" s="28">
        <v>3.605398899E9</v>
      </c>
      <c r="M24" s="28" t="s">
        <v>1569</v>
      </c>
    </row>
    <row r="25">
      <c r="A25" s="28" t="s">
        <v>1571</v>
      </c>
      <c r="B25" s="28" t="s">
        <v>1572</v>
      </c>
      <c r="C25" s="28" t="s">
        <v>1567</v>
      </c>
      <c r="D25" s="28" t="s">
        <v>1398</v>
      </c>
      <c r="E25" s="28" t="s">
        <v>1568</v>
      </c>
      <c r="M25" s="28" t="s">
        <v>1569</v>
      </c>
    </row>
    <row r="26">
      <c r="A26" s="28" t="s">
        <v>1573</v>
      </c>
      <c r="B26" s="28" t="s">
        <v>1574</v>
      </c>
      <c r="C26" s="28" t="s">
        <v>1575</v>
      </c>
      <c r="D26" s="28" t="s">
        <v>1398</v>
      </c>
      <c r="E26" s="28" t="s">
        <v>1576</v>
      </c>
      <c r="M26" s="28" t="s">
        <v>1569</v>
      </c>
    </row>
    <row r="27">
      <c r="A27" s="28" t="s">
        <v>1577</v>
      </c>
      <c r="B27" s="28" t="s">
        <v>1578</v>
      </c>
      <c r="C27" s="28" t="s">
        <v>1579</v>
      </c>
      <c r="D27" s="28" t="s">
        <v>1580</v>
      </c>
      <c r="E27" s="28" t="s">
        <v>1581</v>
      </c>
      <c r="G27" s="28">
        <v>7.209800022E9</v>
      </c>
      <c r="L27" s="28" t="s">
        <v>1582</v>
      </c>
      <c r="M27" s="28" t="s">
        <v>1550</v>
      </c>
    </row>
    <row r="28">
      <c r="A28" s="28" t="s">
        <v>1583</v>
      </c>
      <c r="B28" s="28" t="s">
        <v>1584</v>
      </c>
      <c r="C28" s="28" t="s">
        <v>1585</v>
      </c>
      <c r="D28" s="28" t="s">
        <v>1398</v>
      </c>
      <c r="E28" s="28" t="s">
        <v>1586</v>
      </c>
      <c r="M28" s="28" t="s">
        <v>1550</v>
      </c>
    </row>
    <row r="29">
      <c r="A29" s="28" t="s">
        <v>1587</v>
      </c>
      <c r="B29" s="28" t="s">
        <v>1588</v>
      </c>
      <c r="C29" s="28" t="s">
        <v>1532</v>
      </c>
      <c r="D29" s="28" t="s">
        <v>1398</v>
      </c>
      <c r="E29" s="28" t="s">
        <v>1589</v>
      </c>
      <c r="M29" s="28" t="s">
        <v>1550</v>
      </c>
    </row>
    <row r="30">
      <c r="A30" s="28" t="s">
        <v>1590</v>
      </c>
      <c r="B30" s="28" t="s">
        <v>1520</v>
      </c>
      <c r="C30" s="28" t="s">
        <v>1591</v>
      </c>
      <c r="D30" s="28" t="s">
        <v>1398</v>
      </c>
      <c r="E30" s="28" t="s">
        <v>1592</v>
      </c>
      <c r="M30" s="28" t="s">
        <v>1550</v>
      </c>
    </row>
    <row r="31">
      <c r="A31" s="28" t="s">
        <v>1593</v>
      </c>
      <c r="B31" s="28" t="s">
        <v>1594</v>
      </c>
      <c r="C31" s="28" t="s">
        <v>1595</v>
      </c>
      <c r="D31" s="28" t="s">
        <v>1398</v>
      </c>
      <c r="E31" s="28" t="s">
        <v>1596</v>
      </c>
      <c r="M31" s="28" t="s">
        <v>1550</v>
      </c>
    </row>
    <row r="32">
      <c r="A32" s="28" t="s">
        <v>1597</v>
      </c>
      <c r="B32" s="28" t="s">
        <v>1561</v>
      </c>
      <c r="C32" s="28" t="s">
        <v>1562</v>
      </c>
      <c r="D32" s="28" t="s">
        <v>1394</v>
      </c>
      <c r="G32" s="28">
        <v>3.609705775E9</v>
      </c>
      <c r="M32" s="28" t="s">
        <v>1563</v>
      </c>
    </row>
    <row r="33">
      <c r="A33" s="28" t="s">
        <v>248</v>
      </c>
      <c r="B33" s="28" t="s">
        <v>1482</v>
      </c>
      <c r="C33" s="28" t="s">
        <v>1483</v>
      </c>
      <c r="D33" s="28" t="s">
        <v>1398</v>
      </c>
      <c r="E33" s="28" t="s">
        <v>1569</v>
      </c>
      <c r="M33" s="28" t="s">
        <v>1569</v>
      </c>
    </row>
    <row r="34">
      <c r="A34" s="28" t="s">
        <v>1598</v>
      </c>
      <c r="B34" s="28" t="s">
        <v>1599</v>
      </c>
      <c r="C34" s="28" t="s">
        <v>1600</v>
      </c>
      <c r="D34" s="28" t="s">
        <v>1394</v>
      </c>
      <c r="G34" s="28">
        <v>3.603493468E9</v>
      </c>
      <c r="M34" s="28" t="s">
        <v>1568</v>
      </c>
    </row>
    <row r="35">
      <c r="A35" s="28" t="s">
        <v>1601</v>
      </c>
      <c r="B35" s="28" t="s">
        <v>1602</v>
      </c>
      <c r="C35" s="28" t="s">
        <v>1603</v>
      </c>
      <c r="D35" s="28" t="s">
        <v>1394</v>
      </c>
      <c r="G35" s="28">
        <v>3.603493468E9</v>
      </c>
      <c r="M35" s="28" t="s">
        <v>1568</v>
      </c>
    </row>
    <row r="36">
      <c r="A36" s="28" t="s">
        <v>1604</v>
      </c>
      <c r="B36" s="28" t="s">
        <v>1557</v>
      </c>
      <c r="C36" s="28" t="s">
        <v>1558</v>
      </c>
      <c r="D36" s="28" t="s">
        <v>1394</v>
      </c>
      <c r="G36" s="28">
        <v>8.173051132E9</v>
      </c>
      <c r="M36" s="28" t="s">
        <v>1559</v>
      </c>
    </row>
    <row r="37">
      <c r="A37" s="28" t="s">
        <v>1605</v>
      </c>
      <c r="B37" s="28" t="s">
        <v>1606</v>
      </c>
      <c r="C37" s="28" t="s">
        <v>1607</v>
      </c>
      <c r="D37" s="28" t="s">
        <v>1398</v>
      </c>
      <c r="E37" s="28" t="s">
        <v>1608</v>
      </c>
      <c r="M37" s="28" t="s">
        <v>1609</v>
      </c>
    </row>
    <row r="38">
      <c r="A38" s="28" t="s">
        <v>1319</v>
      </c>
      <c r="B38" s="28" t="s">
        <v>1475</v>
      </c>
      <c r="C38" s="28" t="s">
        <v>1476</v>
      </c>
      <c r="D38" s="28" t="s">
        <v>1398</v>
      </c>
      <c r="E38" s="28" t="s">
        <v>1550</v>
      </c>
      <c r="M38" s="28" t="s">
        <v>1550</v>
      </c>
    </row>
    <row r="39">
      <c r="A39" s="28" t="s">
        <v>213</v>
      </c>
      <c r="B39" s="28" t="s">
        <v>1610</v>
      </c>
      <c r="C39" s="36" t="s">
        <v>1611</v>
      </c>
      <c r="D39" s="28" t="s">
        <v>1394</v>
      </c>
      <c r="G39" s="28">
        <v>2.534340141E9</v>
      </c>
      <c r="M39" s="28" t="s">
        <v>1563</v>
      </c>
    </row>
    <row r="40">
      <c r="A40" s="28" t="s">
        <v>1612</v>
      </c>
      <c r="B40" s="28" t="s">
        <v>1526</v>
      </c>
      <c r="C40" s="28" t="s">
        <v>1613</v>
      </c>
      <c r="D40" s="28" t="s">
        <v>1394</v>
      </c>
      <c r="G40" s="28">
        <v>2.813308004E9</v>
      </c>
      <c r="M40" s="28" t="s">
        <v>1614</v>
      </c>
    </row>
    <row r="41">
      <c r="A41" s="28" t="s">
        <v>317</v>
      </c>
      <c r="B41" s="28" t="s">
        <v>1615</v>
      </c>
      <c r="C41" s="28" t="s">
        <v>1616</v>
      </c>
      <c r="D41" s="28" t="s">
        <v>1398</v>
      </c>
      <c r="E41" s="28" t="s">
        <v>1614</v>
      </c>
      <c r="M41" s="28" t="s">
        <v>1614</v>
      </c>
    </row>
    <row r="42">
      <c r="A42" s="28" t="s">
        <v>149</v>
      </c>
      <c r="B42" s="28" t="s">
        <v>148</v>
      </c>
      <c r="C42" s="28" t="s">
        <v>1617</v>
      </c>
      <c r="D42" s="28" t="s">
        <v>1394</v>
      </c>
      <c r="G42" s="28">
        <v>2.533660531E9</v>
      </c>
      <c r="M42" s="28" t="s">
        <v>1559</v>
      </c>
    </row>
    <row r="43">
      <c r="A43" s="28" t="s">
        <v>150</v>
      </c>
      <c r="B43" s="28" t="s">
        <v>1618</v>
      </c>
      <c r="C43" s="28" t="s">
        <v>1619</v>
      </c>
      <c r="D43" s="28" t="s">
        <v>1398</v>
      </c>
      <c r="E43" s="28" t="s">
        <v>1620</v>
      </c>
      <c r="M43" s="28" t="s">
        <v>1559</v>
      </c>
    </row>
    <row r="44">
      <c r="A44" s="28" t="s">
        <v>220</v>
      </c>
      <c r="B44" s="28" t="s">
        <v>1621</v>
      </c>
      <c r="C44" s="28" t="s">
        <v>1622</v>
      </c>
      <c r="D44" s="28" t="s">
        <v>1398</v>
      </c>
      <c r="E44" s="28" t="s">
        <v>1623</v>
      </c>
      <c r="M44" s="28" t="s">
        <v>1624</v>
      </c>
    </row>
    <row r="45">
      <c r="A45" s="28" t="s">
        <v>159</v>
      </c>
      <c r="B45" s="28" t="s">
        <v>158</v>
      </c>
      <c r="C45" s="28" t="s">
        <v>1625</v>
      </c>
      <c r="D45" s="28" t="s">
        <v>1398</v>
      </c>
      <c r="E45" s="28" t="s">
        <v>1626</v>
      </c>
      <c r="M45" s="28" t="s">
        <v>1624</v>
      </c>
    </row>
    <row r="46">
      <c r="A46" s="28" t="s">
        <v>1627</v>
      </c>
      <c r="B46" s="28" t="s">
        <v>1628</v>
      </c>
      <c r="C46" s="28" t="s">
        <v>1629</v>
      </c>
      <c r="D46" s="28" t="s">
        <v>1394</v>
      </c>
      <c r="E46" s="28" t="s">
        <v>1630</v>
      </c>
      <c r="G46" s="28">
        <v>2.534443388E9</v>
      </c>
      <c r="M46" s="28" t="s">
        <v>1569</v>
      </c>
    </row>
    <row r="47">
      <c r="A47" s="28" t="s">
        <v>1631</v>
      </c>
      <c r="B47" s="28" t="s">
        <v>1632</v>
      </c>
      <c r="C47" s="28" t="s">
        <v>1633</v>
      </c>
      <c r="D47" s="28" t="s">
        <v>1634</v>
      </c>
      <c r="G47" s="28">
        <v>2.053538899E9</v>
      </c>
      <c r="L47" s="28" t="s">
        <v>1635</v>
      </c>
      <c r="M47" s="28" t="s">
        <v>1569</v>
      </c>
    </row>
    <row r="48">
      <c r="A48" s="28" t="s">
        <v>1636</v>
      </c>
      <c r="B48" s="28" t="s">
        <v>1637</v>
      </c>
      <c r="C48" s="28" t="s">
        <v>1638</v>
      </c>
      <c r="D48" s="28" t="s">
        <v>1639</v>
      </c>
      <c r="E48" s="28" t="s">
        <v>1640</v>
      </c>
      <c r="G48" s="28">
        <v>2.053323536E9</v>
      </c>
      <c r="M48" s="28" t="s">
        <v>1569</v>
      </c>
    </row>
    <row r="49">
      <c r="A49" s="28" t="s">
        <v>224</v>
      </c>
      <c r="B49" s="28" t="s">
        <v>1641</v>
      </c>
      <c r="C49" s="28" t="s">
        <v>1642</v>
      </c>
      <c r="D49" s="28" t="s">
        <v>1394</v>
      </c>
      <c r="G49" s="28">
        <v>3.608883957E9</v>
      </c>
      <c r="M49" s="28" t="s">
        <v>1563</v>
      </c>
    </row>
    <row r="50">
      <c r="A50" s="28" t="s">
        <v>223</v>
      </c>
      <c r="B50" s="28" t="s">
        <v>1643</v>
      </c>
      <c r="C50" s="28" t="s">
        <v>1644</v>
      </c>
      <c r="D50" s="28" t="s">
        <v>1398</v>
      </c>
      <c r="E50" s="28" t="s">
        <v>1645</v>
      </c>
      <c r="M50" s="28" t="s">
        <v>1563</v>
      </c>
    </row>
    <row r="51">
      <c r="A51" s="28" t="s">
        <v>228</v>
      </c>
      <c r="B51" s="28" t="s">
        <v>1493</v>
      </c>
      <c r="C51" s="28" t="s">
        <v>1532</v>
      </c>
      <c r="D51" s="28" t="s">
        <v>1394</v>
      </c>
      <c r="G51" s="28">
        <v>2.068193302E9</v>
      </c>
      <c r="M51" s="28" t="s">
        <v>1646</v>
      </c>
    </row>
    <row r="52">
      <c r="A52" s="28" t="s">
        <v>227</v>
      </c>
      <c r="B52" s="28" t="s">
        <v>1647</v>
      </c>
      <c r="C52" s="28" t="s">
        <v>1648</v>
      </c>
      <c r="D52" s="28" t="s">
        <v>1398</v>
      </c>
      <c r="E52" s="28" t="s">
        <v>1649</v>
      </c>
      <c r="M52" s="28" t="s">
        <v>1646</v>
      </c>
    </row>
    <row r="53">
      <c r="A53" s="28" t="s">
        <v>173</v>
      </c>
      <c r="B53" s="28" t="s">
        <v>172</v>
      </c>
      <c r="C53" s="28" t="s">
        <v>859</v>
      </c>
      <c r="D53" s="28" t="s">
        <v>1394</v>
      </c>
      <c r="G53" s="28">
        <v>7.087441111E9</v>
      </c>
      <c r="M53" s="28" t="s">
        <v>1559</v>
      </c>
    </row>
    <row r="54">
      <c r="A54" s="28" t="s">
        <v>174</v>
      </c>
      <c r="B54" s="28" t="s">
        <v>1650</v>
      </c>
      <c r="C54" s="28" t="s">
        <v>859</v>
      </c>
      <c r="D54" s="28" t="s">
        <v>1394</v>
      </c>
      <c r="G54" s="28">
        <v>2.53209607E9</v>
      </c>
      <c r="M54" s="28" t="s">
        <v>1559</v>
      </c>
    </row>
    <row r="55">
      <c r="A55" s="28" t="s">
        <v>154</v>
      </c>
      <c r="B55" s="28" t="s">
        <v>153</v>
      </c>
      <c r="C55" s="28" t="s">
        <v>1651</v>
      </c>
      <c r="D55" s="28" t="s">
        <v>1394</v>
      </c>
      <c r="G55" s="28">
        <v>3.606430356E9</v>
      </c>
      <c r="M55" s="28" t="s">
        <v>1559</v>
      </c>
    </row>
    <row r="56">
      <c r="A56" s="28" t="s">
        <v>155</v>
      </c>
      <c r="B56" s="28" t="s">
        <v>1652</v>
      </c>
      <c r="C56" s="28" t="s">
        <v>1651</v>
      </c>
      <c r="D56" s="28" t="s">
        <v>1394</v>
      </c>
      <c r="G56" s="28">
        <v>3.606430356E9</v>
      </c>
      <c r="M56" s="28" t="s">
        <v>1559</v>
      </c>
    </row>
    <row r="57">
      <c r="A57" s="28" t="s">
        <v>1324</v>
      </c>
      <c r="B57" s="28" t="s">
        <v>1653</v>
      </c>
      <c r="C57" s="28" t="s">
        <v>1654</v>
      </c>
      <c r="D57" s="28" t="s">
        <v>1639</v>
      </c>
      <c r="E57" s="28" t="s">
        <v>1655</v>
      </c>
      <c r="G57" s="28">
        <v>2.536270129E9</v>
      </c>
      <c r="M57" s="28" t="s">
        <v>1563</v>
      </c>
    </row>
    <row r="58">
      <c r="A58" s="28" t="s">
        <v>1327</v>
      </c>
      <c r="B58" s="28" t="s">
        <v>1656</v>
      </c>
      <c r="C58" s="28" t="s">
        <v>1657</v>
      </c>
      <c r="D58" s="28" t="s">
        <v>1639</v>
      </c>
      <c r="E58" s="28" t="s">
        <v>1658</v>
      </c>
      <c r="G58" s="28">
        <v>2.535647101E9</v>
      </c>
      <c r="M58" s="28" t="s">
        <v>1563</v>
      </c>
    </row>
    <row r="59">
      <c r="A59" s="28" t="s">
        <v>1330</v>
      </c>
      <c r="B59" s="28" t="s">
        <v>1659</v>
      </c>
      <c r="C59" s="28" t="s">
        <v>1660</v>
      </c>
      <c r="D59" s="28" t="s">
        <v>1639</v>
      </c>
      <c r="E59" s="28" t="s">
        <v>1661</v>
      </c>
      <c r="G59" s="28">
        <v>2.534596853E9</v>
      </c>
      <c r="M59" s="28" t="s">
        <v>1563</v>
      </c>
    </row>
    <row r="60">
      <c r="A60" s="28" t="s">
        <v>1333</v>
      </c>
      <c r="B60" s="28" t="s">
        <v>1662</v>
      </c>
      <c r="C60" s="28" t="s">
        <v>1663</v>
      </c>
      <c r="D60" s="28" t="s">
        <v>1398</v>
      </c>
      <c r="E60" s="28" t="s">
        <v>1664</v>
      </c>
      <c r="M60" s="28" t="s">
        <v>1563</v>
      </c>
    </row>
    <row r="61">
      <c r="A61" s="28" t="s">
        <v>1335</v>
      </c>
      <c r="B61" s="28" t="s">
        <v>1513</v>
      </c>
      <c r="C61" s="28" t="s">
        <v>1665</v>
      </c>
      <c r="D61" s="28" t="s">
        <v>1639</v>
      </c>
      <c r="E61" s="28" t="s">
        <v>1666</v>
      </c>
      <c r="G61" s="28">
        <v>5.055505507E9</v>
      </c>
      <c r="M61" s="28" t="s">
        <v>1563</v>
      </c>
    </row>
    <row r="62">
      <c r="A62" s="28" t="s">
        <v>1338</v>
      </c>
      <c r="B62" s="28" t="s">
        <v>1667</v>
      </c>
      <c r="C62" s="28" t="s">
        <v>1668</v>
      </c>
      <c r="D62" s="28" t="s">
        <v>1639</v>
      </c>
      <c r="E62" s="28" t="s">
        <v>1669</v>
      </c>
      <c r="G62" s="28">
        <v>2.534261506E9</v>
      </c>
      <c r="M62" s="28" t="s">
        <v>1563</v>
      </c>
    </row>
    <row r="63">
      <c r="A63" s="28" t="s">
        <v>1341</v>
      </c>
      <c r="B63" s="28" t="s">
        <v>1670</v>
      </c>
      <c r="C63" s="28" t="s">
        <v>1671</v>
      </c>
      <c r="D63" s="28" t="s">
        <v>1639</v>
      </c>
      <c r="E63" s="28" t="s">
        <v>1672</v>
      </c>
      <c r="G63" s="28">
        <v>2.533834493E9</v>
      </c>
      <c r="M63" s="28" t="s">
        <v>1563</v>
      </c>
    </row>
    <row r="64">
      <c r="A64" s="28" t="s">
        <v>1344</v>
      </c>
      <c r="B64" s="28" t="s">
        <v>1644</v>
      </c>
      <c r="C64" s="28" t="s">
        <v>1673</v>
      </c>
      <c r="D64" s="28" t="s">
        <v>1639</v>
      </c>
      <c r="E64" s="28" t="s">
        <v>1645</v>
      </c>
      <c r="G64" s="28">
        <v>3.602075935E9</v>
      </c>
      <c r="M64" s="28" t="s">
        <v>1563</v>
      </c>
    </row>
    <row r="65">
      <c r="A65" s="28" t="s">
        <v>1347</v>
      </c>
      <c r="B65" s="28" t="s">
        <v>1674</v>
      </c>
      <c r="C65" s="28" t="s">
        <v>1675</v>
      </c>
      <c r="D65" s="28" t="s">
        <v>1398</v>
      </c>
      <c r="E65" s="28" t="s">
        <v>1676</v>
      </c>
      <c r="M65" s="28" t="s">
        <v>1563</v>
      </c>
    </row>
    <row r="66">
      <c r="A66" s="28" t="s">
        <v>1350</v>
      </c>
      <c r="B66" s="28" t="s">
        <v>1677</v>
      </c>
      <c r="C66" s="28" t="s">
        <v>1678</v>
      </c>
      <c r="D66" s="28" t="s">
        <v>1639</v>
      </c>
      <c r="E66" s="28" t="s">
        <v>1679</v>
      </c>
      <c r="G66" s="28">
        <v>2.532092601E9</v>
      </c>
      <c r="M66" s="28" t="s">
        <v>1563</v>
      </c>
    </row>
    <row r="67">
      <c r="A67" s="28" t="s">
        <v>1353</v>
      </c>
      <c r="B67" s="28" t="s">
        <v>1680</v>
      </c>
      <c r="C67" s="28" t="s">
        <v>1681</v>
      </c>
      <c r="D67" s="28" t="s">
        <v>1639</v>
      </c>
      <c r="E67" s="28" t="s">
        <v>1682</v>
      </c>
      <c r="G67" s="28">
        <v>2.533254618E9</v>
      </c>
      <c r="M67" s="28" t="s">
        <v>1563</v>
      </c>
    </row>
    <row r="68">
      <c r="A68" s="28" t="s">
        <v>1356</v>
      </c>
      <c r="B68" s="28" t="s">
        <v>1683</v>
      </c>
      <c r="C68" s="28" t="s">
        <v>1684</v>
      </c>
      <c r="D68" s="28" t="s">
        <v>1639</v>
      </c>
      <c r="E68" s="28" t="s">
        <v>1685</v>
      </c>
      <c r="G68" s="28">
        <v>4.026506482E9</v>
      </c>
      <c r="M68" s="28" t="s">
        <v>1563</v>
      </c>
    </row>
    <row r="69">
      <c r="A69" s="28" t="s">
        <v>1359</v>
      </c>
      <c r="B69" s="28" t="s">
        <v>1686</v>
      </c>
      <c r="C69" s="28" t="s">
        <v>1687</v>
      </c>
      <c r="D69" s="28" t="s">
        <v>1639</v>
      </c>
      <c r="E69" s="28" t="s">
        <v>1688</v>
      </c>
      <c r="G69" s="28">
        <v>2.069026463E9</v>
      </c>
      <c r="M69" s="28" t="s">
        <v>1563</v>
      </c>
    </row>
    <row r="70">
      <c r="A70" s="28" t="s">
        <v>1362</v>
      </c>
      <c r="B70" s="28" t="s">
        <v>1689</v>
      </c>
      <c r="C70" s="28" t="s">
        <v>1690</v>
      </c>
      <c r="D70" s="28" t="s">
        <v>1639</v>
      </c>
      <c r="E70" s="28" t="s">
        <v>1691</v>
      </c>
      <c r="G70" s="28">
        <v>2.064229244E9</v>
      </c>
      <c r="M70" s="28" t="s">
        <v>1563</v>
      </c>
    </row>
    <row r="71">
      <c r="A71" s="28" t="s">
        <v>1366</v>
      </c>
      <c r="B71" s="28" t="s">
        <v>1692</v>
      </c>
      <c r="C71" s="28" t="s">
        <v>1693</v>
      </c>
      <c r="D71" s="28" t="s">
        <v>1639</v>
      </c>
      <c r="E71" s="28" t="s">
        <v>1694</v>
      </c>
      <c r="G71" s="28">
        <v>2.532130229E9</v>
      </c>
      <c r="M71" s="28" t="s">
        <v>1569</v>
      </c>
    </row>
    <row r="72">
      <c r="A72" s="28" t="s">
        <v>1695</v>
      </c>
      <c r="B72" s="28" t="s">
        <v>1696</v>
      </c>
      <c r="C72" s="28" t="s">
        <v>1532</v>
      </c>
      <c r="D72" s="28" t="s">
        <v>1639</v>
      </c>
      <c r="E72" s="28" t="s">
        <v>1697</v>
      </c>
      <c r="G72" s="28">
        <v>2.533398877E9</v>
      </c>
      <c r="M72" s="28" t="s">
        <v>1563</v>
      </c>
    </row>
    <row r="73">
      <c r="A73" s="28" t="s">
        <v>1698</v>
      </c>
      <c r="B73" s="28" t="s">
        <v>1628</v>
      </c>
      <c r="C73" s="28" t="s">
        <v>1699</v>
      </c>
      <c r="D73" s="28" t="s">
        <v>1580</v>
      </c>
      <c r="E73" s="28" t="s">
        <v>1700</v>
      </c>
      <c r="G73" s="28">
        <v>3.605528855E9</v>
      </c>
      <c r="L73" s="28" t="s">
        <v>1701</v>
      </c>
      <c r="M73" s="28" t="s">
        <v>1563</v>
      </c>
    </row>
    <row r="74">
      <c r="A74" s="28" t="s">
        <v>1702</v>
      </c>
      <c r="B74" s="28" t="s">
        <v>1703</v>
      </c>
      <c r="C74" s="28" t="s">
        <v>1704</v>
      </c>
      <c r="D74" s="28" t="s">
        <v>1398</v>
      </c>
      <c r="E74" s="28" t="s">
        <v>1705</v>
      </c>
      <c r="M74" s="28" t="s">
        <v>1705</v>
      </c>
    </row>
    <row r="75">
      <c r="A75" s="28" t="s">
        <v>1706</v>
      </c>
      <c r="B75" s="28" t="s">
        <v>1707</v>
      </c>
      <c r="C75" s="28" t="s">
        <v>1704</v>
      </c>
      <c r="D75" s="28" t="s">
        <v>1398</v>
      </c>
      <c r="E75" s="28" t="s">
        <v>1705</v>
      </c>
      <c r="M75" s="28" t="s">
        <v>1705</v>
      </c>
    </row>
    <row r="76">
      <c r="A76" s="28" t="s">
        <v>164</v>
      </c>
      <c r="B76" s="28" t="s">
        <v>1708</v>
      </c>
      <c r="C76" s="28" t="s">
        <v>1709</v>
      </c>
      <c r="D76" s="28" t="s">
        <v>1398</v>
      </c>
      <c r="E76" s="28" t="s">
        <v>1710</v>
      </c>
      <c r="M76" s="28" t="s">
        <v>1711</v>
      </c>
    </row>
    <row r="77">
      <c r="A77" s="28" t="s">
        <v>163</v>
      </c>
      <c r="B77" s="28" t="s">
        <v>162</v>
      </c>
      <c r="C77" s="28" t="s">
        <v>1712</v>
      </c>
      <c r="D77" s="28" t="s">
        <v>1394</v>
      </c>
      <c r="G77" s="28">
        <v>2.532056491E9</v>
      </c>
      <c r="M77" s="28" t="s">
        <v>1711</v>
      </c>
    </row>
    <row r="78">
      <c r="A78" s="28" t="s">
        <v>1713</v>
      </c>
      <c r="B78" s="28" t="s">
        <v>1714</v>
      </c>
      <c r="C78" s="28" t="s">
        <v>1715</v>
      </c>
      <c r="D78" s="28" t="s">
        <v>1394</v>
      </c>
      <c r="G78" s="28">
        <v>4.255308945E9</v>
      </c>
      <c r="M78" s="28" t="s">
        <v>1711</v>
      </c>
    </row>
    <row r="79">
      <c r="A79" s="28" t="s">
        <v>232</v>
      </c>
      <c r="B79" s="28" t="s">
        <v>1714</v>
      </c>
      <c r="C79" s="28" t="s">
        <v>1715</v>
      </c>
      <c r="D79" s="28" t="s">
        <v>1394</v>
      </c>
      <c r="G79" s="28">
        <v>4.255308945E9</v>
      </c>
      <c r="M79" s="28" t="s">
        <v>1711</v>
      </c>
    </row>
    <row r="80">
      <c r="A80" s="28" t="s">
        <v>1716</v>
      </c>
      <c r="B80" s="28" t="s">
        <v>1717</v>
      </c>
      <c r="C80" s="28" t="s">
        <v>1718</v>
      </c>
      <c r="D80" s="28" t="s">
        <v>1394</v>
      </c>
      <c r="G80" s="28">
        <v>2.537507654E9</v>
      </c>
      <c r="M80" s="28" t="s">
        <v>1569</v>
      </c>
    </row>
    <row r="81">
      <c r="A81" s="28" t="s">
        <v>1719</v>
      </c>
      <c r="B81" s="28" t="s">
        <v>1720</v>
      </c>
      <c r="C81" s="28" t="s">
        <v>1699</v>
      </c>
      <c r="D81" s="28" t="s">
        <v>1639</v>
      </c>
      <c r="E81" s="28" t="s">
        <v>1721</v>
      </c>
      <c r="G81" s="28">
        <v>2.538846565E9</v>
      </c>
      <c r="M81" s="28" t="s">
        <v>1569</v>
      </c>
    </row>
    <row r="82">
      <c r="A82" s="28" t="s">
        <v>1722</v>
      </c>
      <c r="B82" s="28" t="s">
        <v>1723</v>
      </c>
      <c r="C82" s="28" t="s">
        <v>1506</v>
      </c>
      <c r="D82" s="28" t="s">
        <v>1398</v>
      </c>
      <c r="E82" s="28" t="s">
        <v>1724</v>
      </c>
      <c r="M82" s="28" t="s">
        <v>1725</v>
      </c>
    </row>
    <row r="83">
      <c r="A83" s="28" t="s">
        <v>1726</v>
      </c>
      <c r="B83" s="28" t="s">
        <v>1727</v>
      </c>
      <c r="C83" s="28" t="s">
        <v>1728</v>
      </c>
      <c r="D83" s="28" t="s">
        <v>1398</v>
      </c>
      <c r="E83" s="28" t="s">
        <v>1724</v>
      </c>
      <c r="M83" s="28" t="s">
        <v>1725</v>
      </c>
    </row>
    <row r="84">
      <c r="A84" s="28" t="s">
        <v>1729</v>
      </c>
      <c r="B84" s="28" t="s">
        <v>1730</v>
      </c>
      <c r="C84" s="28" t="s">
        <v>1731</v>
      </c>
      <c r="D84" s="28" t="s">
        <v>1394</v>
      </c>
      <c r="G84" s="28">
        <v>3.609705775E9</v>
      </c>
      <c r="M84" s="28" t="s">
        <v>1563</v>
      </c>
    </row>
    <row r="85">
      <c r="A85" s="28" t="s">
        <v>1732</v>
      </c>
      <c r="B85" s="28" t="s">
        <v>1733</v>
      </c>
      <c r="C85" s="28" t="s">
        <v>1734</v>
      </c>
      <c r="D85" s="28" t="s">
        <v>1394</v>
      </c>
      <c r="G85" s="28">
        <v>8.173851132E9</v>
      </c>
      <c r="M85" s="28" t="s">
        <v>1559</v>
      </c>
    </row>
    <row r="86">
      <c r="A86" s="28" t="s">
        <v>1735</v>
      </c>
      <c r="B86" s="28" t="s">
        <v>1621</v>
      </c>
      <c r="C86" s="28" t="s">
        <v>859</v>
      </c>
      <c r="D86" s="28" t="s">
        <v>1639</v>
      </c>
      <c r="E86" s="28" t="s">
        <v>1736</v>
      </c>
      <c r="G86" s="28">
        <v>2.533530982E9</v>
      </c>
      <c r="M86" s="28" t="s">
        <v>1569</v>
      </c>
    </row>
    <row r="87">
      <c r="A87" s="28" t="s">
        <v>1737</v>
      </c>
      <c r="B87" s="28" t="s">
        <v>1738</v>
      </c>
      <c r="C87" s="28" t="s">
        <v>1739</v>
      </c>
      <c r="D87" s="28" t="s">
        <v>1639</v>
      </c>
      <c r="E87" s="28" t="s">
        <v>1740</v>
      </c>
      <c r="G87" s="28">
        <v>2.538856786E9</v>
      </c>
      <c r="M87" s="28" t="s">
        <v>1569</v>
      </c>
    </row>
    <row r="88">
      <c r="A88" s="28" t="s">
        <v>169</v>
      </c>
      <c r="B88" s="28" t="s">
        <v>168</v>
      </c>
      <c r="C88" s="28" t="s">
        <v>1741</v>
      </c>
      <c r="D88" s="28" t="s">
        <v>1394</v>
      </c>
      <c r="G88" s="28">
        <v>9.184976648E9</v>
      </c>
      <c r="M88" s="28" t="s">
        <v>1559</v>
      </c>
    </row>
    <row r="89">
      <c r="A89" s="28" t="s">
        <v>234</v>
      </c>
      <c r="B89" s="28" t="s">
        <v>1742</v>
      </c>
      <c r="C89" s="28" t="s">
        <v>1743</v>
      </c>
      <c r="D89" s="28" t="s">
        <v>1398</v>
      </c>
      <c r="E89" s="28" t="s">
        <v>1744</v>
      </c>
      <c r="M89" s="28" t="s">
        <v>1559</v>
      </c>
    </row>
    <row r="90">
      <c r="A90" s="28" t="s">
        <v>1745</v>
      </c>
      <c r="B90" s="28" t="s">
        <v>1630</v>
      </c>
      <c r="C90" s="28" t="s">
        <v>1629</v>
      </c>
      <c r="D90" s="28" t="s">
        <v>1639</v>
      </c>
      <c r="E90" s="28" t="s">
        <v>1746</v>
      </c>
      <c r="G90" s="28">
        <v>2.535547788E9</v>
      </c>
      <c r="M90" s="28" t="s">
        <v>1569</v>
      </c>
    </row>
    <row r="91">
      <c r="A91" s="28" t="s">
        <v>1747</v>
      </c>
      <c r="B91" s="28" t="s">
        <v>1574</v>
      </c>
      <c r="C91" s="28" t="s">
        <v>1629</v>
      </c>
      <c r="D91" s="28" t="s">
        <v>1639</v>
      </c>
      <c r="E91" s="28" t="s">
        <v>1748</v>
      </c>
      <c r="G91" s="28">
        <v>2.8375488E9</v>
      </c>
      <c r="M91" s="28" t="s">
        <v>1569</v>
      </c>
    </row>
    <row r="92">
      <c r="A92" s="28" t="s">
        <v>1749</v>
      </c>
      <c r="B92" s="28" t="s">
        <v>1750</v>
      </c>
      <c r="C92" s="28" t="s">
        <v>1633</v>
      </c>
      <c r="D92" s="28" t="s">
        <v>1639</v>
      </c>
      <c r="E92" s="28" t="s">
        <v>1751</v>
      </c>
      <c r="G92" s="28">
        <v>2.534432525E9</v>
      </c>
      <c r="M92" s="28" t="s">
        <v>1569</v>
      </c>
    </row>
    <row r="93">
      <c r="A93" s="28" t="s">
        <v>1752</v>
      </c>
      <c r="B93" s="28" t="s">
        <v>1574</v>
      </c>
      <c r="C93" s="28" t="s">
        <v>1575</v>
      </c>
      <c r="D93" s="28" t="s">
        <v>1639</v>
      </c>
      <c r="E93" s="28" t="s">
        <v>1748</v>
      </c>
      <c r="G93" s="28">
        <v>2.534428754E9</v>
      </c>
      <c r="M93" s="28" t="s">
        <v>1569</v>
      </c>
    </row>
    <row r="94">
      <c r="A94" s="28" t="s">
        <v>238</v>
      </c>
      <c r="B94" s="28" t="s">
        <v>1753</v>
      </c>
      <c r="C94" s="28" t="s">
        <v>1754</v>
      </c>
      <c r="D94" s="28" t="s">
        <v>1394</v>
      </c>
      <c r="G94" s="28">
        <v>2.532616434E9</v>
      </c>
      <c r="M94" s="28" t="s">
        <v>1559</v>
      </c>
    </row>
    <row r="95">
      <c r="A95" s="28" t="s">
        <v>237</v>
      </c>
      <c r="B95" s="28" t="s">
        <v>1755</v>
      </c>
      <c r="C95" s="28" t="s">
        <v>1756</v>
      </c>
      <c r="D95" s="28" t="s">
        <v>1394</v>
      </c>
      <c r="G95" s="28">
        <v>2.53409352E9</v>
      </c>
      <c r="M95" s="28" t="s">
        <v>1559</v>
      </c>
    </row>
    <row r="96">
      <c r="A96" s="36" t="s">
        <v>1757</v>
      </c>
      <c r="B96" s="28" t="s">
        <v>1758</v>
      </c>
      <c r="C96" s="28" t="s">
        <v>1759</v>
      </c>
      <c r="D96" s="28" t="s">
        <v>1639</v>
      </c>
      <c r="E96" s="28" t="s">
        <v>1760</v>
      </c>
      <c r="G96" s="28">
        <v>2.534578585E9</v>
      </c>
      <c r="M96" s="28" t="s">
        <v>1569</v>
      </c>
    </row>
    <row r="97">
      <c r="A97" s="28" t="s">
        <v>1761</v>
      </c>
      <c r="B97" s="28" t="s">
        <v>1762</v>
      </c>
      <c r="C97" s="28" t="s">
        <v>1763</v>
      </c>
      <c r="D97" s="28" t="s">
        <v>1639</v>
      </c>
      <c r="E97" s="28" t="s">
        <v>1764</v>
      </c>
      <c r="G97" s="28">
        <v>2.535543434E9</v>
      </c>
      <c r="M97" s="28" t="s">
        <v>1569</v>
      </c>
    </row>
    <row r="98">
      <c r="A98" s="28" t="s">
        <v>182</v>
      </c>
      <c r="B98" s="28" t="s">
        <v>181</v>
      </c>
      <c r="C98" s="28" t="s">
        <v>1765</v>
      </c>
      <c r="D98" s="28" t="s">
        <v>1394</v>
      </c>
      <c r="G98" s="28">
        <v>4.252415657E9</v>
      </c>
      <c r="M98" s="28" t="s">
        <v>1563</v>
      </c>
    </row>
    <row r="99">
      <c r="A99" s="28" t="s">
        <v>178</v>
      </c>
      <c r="B99" s="28" t="s">
        <v>177</v>
      </c>
      <c r="C99" s="28" t="s">
        <v>1494</v>
      </c>
      <c r="D99" s="28" t="s">
        <v>1394</v>
      </c>
      <c r="G99" s="28">
        <v>2.532274181E9</v>
      </c>
      <c r="M99" s="28" t="s">
        <v>1563</v>
      </c>
    </row>
    <row r="100">
      <c r="A100" s="28" t="s">
        <v>245</v>
      </c>
      <c r="B100" s="28" t="s">
        <v>1766</v>
      </c>
      <c r="C100" s="28" t="s">
        <v>1767</v>
      </c>
      <c r="D100" s="28" t="s">
        <v>1394</v>
      </c>
      <c r="G100" s="28">
        <v>2.537653071E9</v>
      </c>
      <c r="M100" s="28" t="s">
        <v>1768</v>
      </c>
    </row>
    <row r="101">
      <c r="A101" s="28" t="s">
        <v>244</v>
      </c>
      <c r="B101" s="28" t="s">
        <v>1769</v>
      </c>
      <c r="C101" s="28" t="s">
        <v>1770</v>
      </c>
      <c r="D101" s="28" t="s">
        <v>1398</v>
      </c>
      <c r="E101" s="28" t="s">
        <v>1771</v>
      </c>
      <c r="M101" s="28" t="s">
        <v>1768</v>
      </c>
    </row>
    <row r="102">
      <c r="A102" s="28" t="s">
        <v>249</v>
      </c>
      <c r="B102" s="28" t="s">
        <v>1762</v>
      </c>
      <c r="C102" s="28" t="s">
        <v>1763</v>
      </c>
      <c r="D102" s="28" t="s">
        <v>1394</v>
      </c>
      <c r="G102" s="28">
        <v>2.535567676E9</v>
      </c>
      <c r="M102" s="28" t="s">
        <v>1569</v>
      </c>
    </row>
    <row r="103">
      <c r="A103" s="28" t="s">
        <v>252</v>
      </c>
      <c r="B103" s="28" t="s">
        <v>1762</v>
      </c>
      <c r="C103" s="28" t="s">
        <v>1763</v>
      </c>
      <c r="D103" s="28" t="s">
        <v>1639</v>
      </c>
      <c r="E103" s="28" t="s">
        <v>1772</v>
      </c>
      <c r="G103" s="28">
        <v>2.535534545E9</v>
      </c>
      <c r="M103" s="28" t="s">
        <v>1569</v>
      </c>
    </row>
    <row r="104">
      <c r="A104" s="28" t="s">
        <v>186</v>
      </c>
      <c r="B104" s="28" t="s">
        <v>185</v>
      </c>
      <c r="C104" s="28" t="s">
        <v>1773</v>
      </c>
      <c r="D104" s="28" t="s">
        <v>1394</v>
      </c>
      <c r="G104" s="28">
        <v>2.534595132E9</v>
      </c>
      <c r="M104" s="28" t="s">
        <v>1774</v>
      </c>
    </row>
    <row r="105">
      <c r="A105" s="28" t="s">
        <v>254</v>
      </c>
      <c r="B105" s="28" t="s">
        <v>1775</v>
      </c>
      <c r="C105" s="28" t="s">
        <v>1776</v>
      </c>
      <c r="D105" s="28" t="s">
        <v>1394</v>
      </c>
      <c r="G105" s="28">
        <v>8.173051132E9</v>
      </c>
      <c r="M105" s="28" t="s">
        <v>1774</v>
      </c>
    </row>
    <row r="106">
      <c r="A106" s="28" t="s">
        <v>258</v>
      </c>
      <c r="B106" s="28" t="s">
        <v>1777</v>
      </c>
      <c r="C106" s="28" t="s">
        <v>1778</v>
      </c>
      <c r="D106" s="28" t="s">
        <v>1394</v>
      </c>
      <c r="G106" s="28">
        <v>2.536513877E9</v>
      </c>
      <c r="M106" s="28" t="s">
        <v>1563</v>
      </c>
    </row>
    <row r="107">
      <c r="A107" s="28" t="s">
        <v>257</v>
      </c>
      <c r="B107" s="28" t="s">
        <v>1662</v>
      </c>
      <c r="C107" s="28" t="s">
        <v>1779</v>
      </c>
      <c r="D107" s="28" t="s">
        <v>1394</v>
      </c>
      <c r="G107" s="28">
        <v>2.536253836E9</v>
      </c>
      <c r="M107" s="28" t="s">
        <v>1563</v>
      </c>
    </row>
    <row r="108">
      <c r="A108" s="28" t="s">
        <v>262</v>
      </c>
      <c r="B108" s="28" t="s">
        <v>1780</v>
      </c>
      <c r="C108" s="28" t="s">
        <v>1781</v>
      </c>
      <c r="D108" s="28" t="s">
        <v>1394</v>
      </c>
      <c r="G108" s="28">
        <v>2.535929877E9</v>
      </c>
      <c r="M108" s="28" t="s">
        <v>1782</v>
      </c>
    </row>
    <row r="109">
      <c r="A109" s="28" t="s">
        <v>261</v>
      </c>
      <c r="B109" s="28" t="s">
        <v>1783</v>
      </c>
      <c r="C109" s="28" t="s">
        <v>1784</v>
      </c>
      <c r="D109" s="28" t="s">
        <v>1394</v>
      </c>
      <c r="G109" s="28">
        <v>2.06743199E9</v>
      </c>
      <c r="M109" s="28" t="s">
        <v>1782</v>
      </c>
    </row>
    <row r="110">
      <c r="A110" s="28" t="s">
        <v>265</v>
      </c>
      <c r="B110" s="28" t="s">
        <v>1628</v>
      </c>
      <c r="C110" s="28" t="s">
        <v>1785</v>
      </c>
      <c r="D110" s="28" t="s">
        <v>1639</v>
      </c>
      <c r="E110" s="28" t="s">
        <v>1786</v>
      </c>
      <c r="G110" s="28">
        <v>2.536647575E9</v>
      </c>
      <c r="M110" s="28" t="s">
        <v>1569</v>
      </c>
    </row>
    <row r="111">
      <c r="A111" s="28" t="s">
        <v>268</v>
      </c>
      <c r="B111" s="28" t="s">
        <v>1574</v>
      </c>
      <c r="C111" s="28" t="s">
        <v>1575</v>
      </c>
      <c r="D111" s="28" t="s">
        <v>1639</v>
      </c>
      <c r="E111" s="28" t="s">
        <v>1748</v>
      </c>
      <c r="G111" s="28">
        <v>2.533307875E9</v>
      </c>
      <c r="M111" s="28" t="s">
        <v>1569</v>
      </c>
    </row>
    <row r="112">
      <c r="A112" s="28" t="s">
        <v>271</v>
      </c>
      <c r="B112" s="28" t="s">
        <v>1787</v>
      </c>
      <c r="C112" s="28" t="s">
        <v>1788</v>
      </c>
      <c r="D112" s="28" t="s">
        <v>1394</v>
      </c>
      <c r="G112" s="28">
        <v>8.435979818E9</v>
      </c>
      <c r="M112" s="28" t="s">
        <v>1563</v>
      </c>
    </row>
    <row r="113">
      <c r="A113" s="28" t="s">
        <v>191</v>
      </c>
      <c r="B113" s="28" t="s">
        <v>1789</v>
      </c>
      <c r="C113" s="28" t="s">
        <v>1494</v>
      </c>
      <c r="D113" s="28" t="s">
        <v>1394</v>
      </c>
      <c r="G113" s="28">
        <v>2.53876408E9</v>
      </c>
      <c r="M113" s="28" t="s">
        <v>1790</v>
      </c>
    </row>
    <row r="114">
      <c r="A114" s="28" t="s">
        <v>190</v>
      </c>
      <c r="B114" s="28" t="s">
        <v>189</v>
      </c>
      <c r="C114" s="28" t="s">
        <v>1791</v>
      </c>
      <c r="D114" s="28" t="s">
        <v>1394</v>
      </c>
      <c r="G114" s="28">
        <v>2.53876408E9</v>
      </c>
      <c r="M114" s="28" t="s">
        <v>1790</v>
      </c>
    </row>
    <row r="115">
      <c r="A115" s="28" t="s">
        <v>276</v>
      </c>
      <c r="B115" s="28" t="s">
        <v>1792</v>
      </c>
      <c r="C115" s="28" t="s">
        <v>1793</v>
      </c>
      <c r="D115" s="28" t="s">
        <v>1394</v>
      </c>
      <c r="G115" s="28">
        <v>2.533246908E9</v>
      </c>
      <c r="M115" s="28" t="s">
        <v>1774</v>
      </c>
    </row>
    <row r="116">
      <c r="A116" s="28" t="s">
        <v>275</v>
      </c>
      <c r="B116" s="28" t="s">
        <v>1557</v>
      </c>
      <c r="C116" s="28" t="s">
        <v>1558</v>
      </c>
      <c r="D116" s="28" t="s">
        <v>1394</v>
      </c>
      <c r="G116" s="28">
        <v>8.173051132E9</v>
      </c>
      <c r="M116" s="28" t="s">
        <v>1774</v>
      </c>
    </row>
    <row r="117">
      <c r="A117" s="28" t="s">
        <v>1794</v>
      </c>
      <c r="B117" s="28" t="s">
        <v>1795</v>
      </c>
      <c r="C117" s="28" t="s">
        <v>1796</v>
      </c>
      <c r="D117" s="28" t="s">
        <v>1639</v>
      </c>
      <c r="E117" s="28" t="s">
        <v>1797</v>
      </c>
      <c r="G117" s="28">
        <v>2.534397379E9</v>
      </c>
      <c r="M117" s="28" t="s">
        <v>1797</v>
      </c>
    </row>
    <row r="118">
      <c r="A118" s="28" t="s">
        <v>1798</v>
      </c>
      <c r="B118" s="28" t="s">
        <v>1799</v>
      </c>
      <c r="C118" s="28" t="s">
        <v>1800</v>
      </c>
      <c r="D118" s="28" t="s">
        <v>1394</v>
      </c>
      <c r="G118" s="28">
        <v>3.606427467E9</v>
      </c>
      <c r="M118" s="28" t="s">
        <v>1797</v>
      </c>
    </row>
    <row r="119">
      <c r="A119" s="28" t="s">
        <v>280</v>
      </c>
      <c r="B119" s="28" t="s">
        <v>1775</v>
      </c>
      <c r="C119" s="28" t="s">
        <v>1776</v>
      </c>
      <c r="D119" s="28" t="s">
        <v>1394</v>
      </c>
      <c r="G119" s="28">
        <v>8.173051132E9</v>
      </c>
      <c r="M119" s="28" t="s">
        <v>1774</v>
      </c>
    </row>
    <row r="120">
      <c r="A120" s="28" t="s">
        <v>281</v>
      </c>
      <c r="B120" s="28" t="s">
        <v>1801</v>
      </c>
      <c r="C120" s="28" t="s">
        <v>1802</v>
      </c>
      <c r="D120" s="28" t="s">
        <v>1394</v>
      </c>
      <c r="G120" s="28">
        <v>6.02884278E9</v>
      </c>
      <c r="M120" s="28" t="s">
        <v>1774</v>
      </c>
    </row>
    <row r="121">
      <c r="A121" s="28" t="s">
        <v>1803</v>
      </c>
      <c r="B121" s="28" t="s">
        <v>1804</v>
      </c>
      <c r="C121" s="28" t="s">
        <v>1633</v>
      </c>
      <c r="D121" s="28" t="s">
        <v>1394</v>
      </c>
      <c r="G121" s="28">
        <v>3.609705775E9</v>
      </c>
      <c r="M121" s="28" t="s">
        <v>1797</v>
      </c>
    </row>
    <row r="122">
      <c r="A122" s="28" t="s">
        <v>1805</v>
      </c>
      <c r="B122" s="28" t="s">
        <v>1806</v>
      </c>
      <c r="C122" s="28" t="s">
        <v>1633</v>
      </c>
      <c r="D122" s="28" t="s">
        <v>1394</v>
      </c>
      <c r="G122" s="28">
        <v>3.609705775E9</v>
      </c>
      <c r="M122" s="28" t="s">
        <v>1797</v>
      </c>
    </row>
    <row r="123">
      <c r="A123" s="28" t="s">
        <v>289</v>
      </c>
      <c r="B123" s="28" t="s">
        <v>1807</v>
      </c>
      <c r="C123" s="28" t="s">
        <v>1808</v>
      </c>
      <c r="D123" s="28" t="s">
        <v>1394</v>
      </c>
      <c r="G123" s="28">
        <v>2.534398282E9</v>
      </c>
      <c r="M123" s="28" t="s">
        <v>1774</v>
      </c>
    </row>
    <row r="124">
      <c r="A124" s="28"/>
      <c r="B124" s="28"/>
      <c r="C124" s="28"/>
      <c r="D124" s="28"/>
      <c r="E124" s="28"/>
      <c r="M124" s="28"/>
    </row>
    <row r="125">
      <c r="A125" s="28" t="s">
        <v>284</v>
      </c>
      <c r="B125" s="28" t="s">
        <v>1557</v>
      </c>
      <c r="C125" s="28" t="s">
        <v>1558</v>
      </c>
      <c r="D125" s="28" t="s">
        <v>1394</v>
      </c>
      <c r="G125" s="28">
        <v>8.173051132E9</v>
      </c>
      <c r="M125" s="28" t="s">
        <v>1614</v>
      </c>
    </row>
    <row r="126">
      <c r="A126" s="28" t="s">
        <v>288</v>
      </c>
      <c r="B126" s="28" t="s">
        <v>1557</v>
      </c>
      <c r="C126" s="28" t="s">
        <v>1558</v>
      </c>
      <c r="D126" s="28" t="s">
        <v>1394</v>
      </c>
      <c r="G126" s="28">
        <v>8.173051132E9</v>
      </c>
      <c r="M126" s="28" t="s">
        <v>1774</v>
      </c>
    </row>
    <row r="127">
      <c r="A127" s="28" t="s">
        <v>293</v>
      </c>
      <c r="B127" s="28" t="s">
        <v>1809</v>
      </c>
      <c r="C127" s="28" t="s">
        <v>1810</v>
      </c>
      <c r="D127" s="28" t="s">
        <v>1394</v>
      </c>
      <c r="G127" s="28">
        <v>2.675795639E9</v>
      </c>
      <c r="M127" s="28" t="s">
        <v>1614</v>
      </c>
    </row>
    <row r="128">
      <c r="A128" s="28" t="s">
        <v>292</v>
      </c>
      <c r="B128" s="28" t="s">
        <v>1557</v>
      </c>
      <c r="C128" s="28" t="s">
        <v>1558</v>
      </c>
      <c r="D128" s="28" t="s">
        <v>1394</v>
      </c>
      <c r="G128" s="28">
        <v>8.173051132E9</v>
      </c>
      <c r="M128" s="28" t="s">
        <v>1774</v>
      </c>
    </row>
    <row r="129">
      <c r="A129" s="28" t="s">
        <v>297</v>
      </c>
      <c r="B129" s="28" t="s">
        <v>1811</v>
      </c>
      <c r="C129" s="28" t="s">
        <v>1812</v>
      </c>
      <c r="D129" s="28" t="s">
        <v>1394</v>
      </c>
      <c r="G129" s="28">
        <v>7.862133878E9</v>
      </c>
      <c r="M129" s="28" t="s">
        <v>1774</v>
      </c>
    </row>
    <row r="130">
      <c r="A130" s="28" t="s">
        <v>296</v>
      </c>
      <c r="B130" s="28" t="s">
        <v>1557</v>
      </c>
      <c r="C130" s="28" t="s">
        <v>1558</v>
      </c>
      <c r="D130" s="28" t="s">
        <v>1394</v>
      </c>
      <c r="G130" s="28">
        <v>8.173051132E9</v>
      </c>
      <c r="M130" s="28" t="s">
        <v>1774</v>
      </c>
    </row>
    <row r="131">
      <c r="A131" s="28" t="s">
        <v>301</v>
      </c>
      <c r="B131" s="28" t="s">
        <v>1813</v>
      </c>
      <c r="C131" s="28" t="s">
        <v>1814</v>
      </c>
      <c r="D131" s="28" t="s">
        <v>1398</v>
      </c>
      <c r="E131" s="28" t="s">
        <v>1815</v>
      </c>
      <c r="M131" s="28" t="s">
        <v>1816</v>
      </c>
    </row>
    <row r="132">
      <c r="A132" s="28" t="s">
        <v>300</v>
      </c>
      <c r="B132" s="28" t="s">
        <v>1817</v>
      </c>
      <c r="C132" s="28" t="s">
        <v>1818</v>
      </c>
      <c r="D132" s="28" t="s">
        <v>1398</v>
      </c>
      <c r="E132" s="28" t="s">
        <v>1819</v>
      </c>
      <c r="M132" s="28" t="s">
        <v>1816</v>
      </c>
    </row>
    <row r="133">
      <c r="A133" s="28" t="s">
        <v>305</v>
      </c>
      <c r="B133" s="28" t="s">
        <v>1820</v>
      </c>
      <c r="C133" s="28" t="s">
        <v>1821</v>
      </c>
      <c r="D133" s="28" t="s">
        <v>1398</v>
      </c>
      <c r="E133" s="28" t="s">
        <v>1822</v>
      </c>
      <c r="M133" s="28" t="s">
        <v>1774</v>
      </c>
    </row>
    <row r="134">
      <c r="A134" s="28" t="s">
        <v>304</v>
      </c>
      <c r="B134" s="28" t="s">
        <v>1775</v>
      </c>
      <c r="C134" s="28" t="s">
        <v>1776</v>
      </c>
      <c r="D134" s="28" t="s">
        <v>1394</v>
      </c>
      <c r="G134" s="28">
        <v>8.173051132E9</v>
      </c>
      <c r="M134" s="28" t="s">
        <v>1774</v>
      </c>
    </row>
    <row r="135">
      <c r="A135" s="28" t="s">
        <v>309</v>
      </c>
      <c r="B135" s="28" t="s">
        <v>1823</v>
      </c>
      <c r="C135" s="28" t="s">
        <v>1824</v>
      </c>
      <c r="D135" s="28" t="s">
        <v>1472</v>
      </c>
      <c r="L135" s="28" t="s">
        <v>1825</v>
      </c>
      <c r="M135" s="28" t="s">
        <v>1826</v>
      </c>
    </row>
    <row r="136">
      <c r="A136" s="28" t="s">
        <v>308</v>
      </c>
      <c r="B136" s="28" t="s">
        <v>1827</v>
      </c>
      <c r="C136" s="28" t="s">
        <v>1828</v>
      </c>
      <c r="D136" s="28" t="s">
        <v>1394</v>
      </c>
      <c r="G136" s="28">
        <v>2.532829285E9</v>
      </c>
      <c r="M136" s="28" t="s">
        <v>1826</v>
      </c>
    </row>
    <row r="137">
      <c r="A137" s="28" t="s">
        <v>313</v>
      </c>
      <c r="B137" s="28" t="s">
        <v>1829</v>
      </c>
      <c r="C137" s="28" t="s">
        <v>1830</v>
      </c>
      <c r="D137" s="28" t="s">
        <v>1394</v>
      </c>
      <c r="G137" s="28">
        <v>3.605560718E9</v>
      </c>
      <c r="M137" s="28" t="s">
        <v>1563</v>
      </c>
    </row>
    <row r="138">
      <c r="A138" s="28" t="s">
        <v>312</v>
      </c>
      <c r="B138" s="28" t="s">
        <v>1831</v>
      </c>
      <c r="C138" s="28" t="s">
        <v>1832</v>
      </c>
      <c r="D138" s="28" t="s">
        <v>1394</v>
      </c>
      <c r="G138" s="28">
        <v>3.605560718E9</v>
      </c>
      <c r="M138" s="28" t="s">
        <v>1563</v>
      </c>
    </row>
    <row r="139">
      <c r="A139" s="28" t="s">
        <v>197</v>
      </c>
      <c r="B139" s="28" t="s">
        <v>196</v>
      </c>
      <c r="C139" s="28" t="s">
        <v>1833</v>
      </c>
      <c r="D139" s="28" t="s">
        <v>1398</v>
      </c>
      <c r="E139" s="28" t="s">
        <v>1834</v>
      </c>
      <c r="M139" s="28" t="s">
        <v>1835</v>
      </c>
    </row>
    <row r="140">
      <c r="A140" s="28" t="s">
        <v>315</v>
      </c>
      <c r="B140" s="28" t="s">
        <v>1836</v>
      </c>
      <c r="C140" s="28" t="s">
        <v>1837</v>
      </c>
      <c r="D140" s="28" t="s">
        <v>1398</v>
      </c>
      <c r="E140" s="28" t="s">
        <v>1838</v>
      </c>
      <c r="M140" s="28" t="s">
        <v>1835</v>
      </c>
    </row>
    <row r="141">
      <c r="A141" s="28" t="s">
        <v>318</v>
      </c>
      <c r="B141" s="28" t="s">
        <v>1839</v>
      </c>
      <c r="C141" s="28" t="s">
        <v>1840</v>
      </c>
      <c r="D141" s="28" t="s">
        <v>1394</v>
      </c>
      <c r="G141" s="28">
        <v>2.533418597E9</v>
      </c>
      <c r="M141" s="28" t="s">
        <v>1614</v>
      </c>
    </row>
    <row r="142">
      <c r="A142" s="28" t="s">
        <v>319</v>
      </c>
      <c r="B142" s="28" t="s">
        <v>1841</v>
      </c>
      <c r="C142" s="28" t="s">
        <v>1842</v>
      </c>
      <c r="D142" s="28" t="s">
        <v>1394</v>
      </c>
      <c r="G142" s="28">
        <v>2.532301355E9</v>
      </c>
      <c r="M142" s="28" t="s">
        <v>1614</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1843</v>
      </c>
      <c r="B1" s="28" t="s">
        <v>1844</v>
      </c>
      <c r="C1" s="28" t="s">
        <v>1845</v>
      </c>
      <c r="D1" s="30" t="s">
        <v>1370</v>
      </c>
      <c r="E1" s="30" t="s">
        <v>1371</v>
      </c>
      <c r="F1" s="30" t="s">
        <v>1372</v>
      </c>
      <c r="G1" s="30" t="s">
        <v>1373</v>
      </c>
      <c r="H1" s="30" t="s">
        <v>1374</v>
      </c>
      <c r="I1" s="30" t="s">
        <v>1375</v>
      </c>
      <c r="J1" s="28" t="s">
        <v>1846</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0"/>
  </cols>
  <sheetData>
    <row r="1">
      <c r="A1" s="30" t="s">
        <v>1471</v>
      </c>
      <c r="B1" s="30" t="s">
        <v>1398</v>
      </c>
      <c r="C1" s="30" t="s">
        <v>1847</v>
      </c>
      <c r="D1" s="30" t="s">
        <v>1848</v>
      </c>
    </row>
    <row r="2">
      <c r="A2" s="70" t="s">
        <v>1479</v>
      </c>
      <c r="B2" s="28" t="s">
        <v>1477</v>
      </c>
      <c r="C2" s="28">
        <v>4.0</v>
      </c>
      <c r="D2" s="28" t="s">
        <v>1849</v>
      </c>
    </row>
    <row r="3">
      <c r="A3" s="70" t="s">
        <v>1486</v>
      </c>
      <c r="B3" s="28" t="s">
        <v>1850</v>
      </c>
      <c r="C3" s="28">
        <v>4.0</v>
      </c>
      <c r="D3" s="28" t="s">
        <v>1851</v>
      </c>
    </row>
    <row r="4">
      <c r="A4" s="73" t="s">
        <v>1852</v>
      </c>
      <c r="B4" s="28" t="s">
        <v>1853</v>
      </c>
      <c r="C4" s="28">
        <v>4.0</v>
      </c>
      <c r="D4" s="28" t="s">
        <v>1849</v>
      </c>
    </row>
    <row r="5">
      <c r="A5" s="73" t="s">
        <v>1854</v>
      </c>
      <c r="B5" s="28" t="s">
        <v>1855</v>
      </c>
      <c r="C5" s="28">
        <v>-3.0</v>
      </c>
      <c r="D5" s="28" t="s">
        <v>1856</v>
      </c>
    </row>
    <row r="6">
      <c r="A6" s="73" t="s">
        <v>1857</v>
      </c>
      <c r="B6" s="28" t="s">
        <v>1858</v>
      </c>
      <c r="C6" s="28">
        <v>-2.0</v>
      </c>
      <c r="D6" s="28" t="s">
        <v>1856</v>
      </c>
    </row>
    <row r="7">
      <c r="A7" s="73" t="s">
        <v>1479</v>
      </c>
      <c r="B7" s="28" t="s">
        <v>1859</v>
      </c>
      <c r="C7" s="28">
        <v>-1.0</v>
      </c>
      <c r="D7" s="28" t="s">
        <v>1856</v>
      </c>
    </row>
    <row r="8">
      <c r="A8" s="73" t="s">
        <v>1860</v>
      </c>
      <c r="B8" s="28" t="s">
        <v>1861</v>
      </c>
      <c r="C8" s="28">
        <v>1.0</v>
      </c>
      <c r="D8" s="28" t="s">
        <v>1306</v>
      </c>
    </row>
    <row r="9">
      <c r="A9" s="73" t="s">
        <v>1862</v>
      </c>
      <c r="B9" s="28" t="s">
        <v>1863</v>
      </c>
      <c r="C9" s="28">
        <v>2.0</v>
      </c>
      <c r="D9" s="28" t="s">
        <v>1306</v>
      </c>
    </row>
    <row r="10">
      <c r="A10" s="73" t="s">
        <v>1864</v>
      </c>
      <c r="B10" s="28" t="s">
        <v>1865</v>
      </c>
      <c r="C10" s="28">
        <v>3.0</v>
      </c>
      <c r="D10" s="28" t="s">
        <v>1306</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1866</v>
      </c>
      <c r="B1" s="28" t="s">
        <v>1867</v>
      </c>
      <c r="C1" s="28" t="s">
        <v>1868</v>
      </c>
    </row>
    <row r="2">
      <c r="A2" s="73" t="s">
        <v>1869</v>
      </c>
      <c r="B2" s="28">
        <v>3.607640279E9</v>
      </c>
      <c r="C2" s="73" t="s">
        <v>1852</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4" t="s">
        <v>1870</v>
      </c>
      <c r="B1" s="75" t="s">
        <v>1871</v>
      </c>
      <c r="C1" s="75" t="s">
        <v>1872</v>
      </c>
      <c r="D1" s="75" t="s">
        <v>1873</v>
      </c>
      <c r="E1" s="75" t="s">
        <v>1874</v>
      </c>
      <c r="F1" s="75" t="s">
        <v>1875</v>
      </c>
      <c r="G1" s="75" t="s">
        <v>348</v>
      </c>
      <c r="H1" s="76" t="s">
        <v>1876</v>
      </c>
    </row>
    <row r="2">
      <c r="A2" s="71" t="s">
        <v>1877</v>
      </c>
      <c r="B2" s="28" t="s">
        <v>1878</v>
      </c>
      <c r="D2" s="28" t="s">
        <v>1879</v>
      </c>
      <c r="E2" s="28" t="s">
        <v>966</v>
      </c>
      <c r="F2" s="28">
        <v>98405.0</v>
      </c>
      <c r="G2" s="28" t="s">
        <v>1880</v>
      </c>
      <c r="H2" s="72" t="s">
        <v>1480</v>
      </c>
    </row>
    <row r="3">
      <c r="A3" s="71" t="s">
        <v>1881</v>
      </c>
      <c r="B3" s="28" t="s">
        <v>1882</v>
      </c>
      <c r="D3" s="28" t="s">
        <v>1879</v>
      </c>
      <c r="E3" s="28" t="s">
        <v>966</v>
      </c>
      <c r="F3" s="28">
        <v>98406.0</v>
      </c>
      <c r="G3" s="28" t="s">
        <v>1880</v>
      </c>
      <c r="H3" s="72" t="s">
        <v>1883</v>
      </c>
    </row>
    <row r="4">
      <c r="A4" s="71" t="s">
        <v>1884</v>
      </c>
      <c r="B4" s="28" t="s">
        <v>1885</v>
      </c>
      <c r="D4" s="28" t="s">
        <v>1879</v>
      </c>
      <c r="E4" s="28" t="s">
        <v>966</v>
      </c>
      <c r="F4" s="28">
        <v>98404.0</v>
      </c>
      <c r="G4" s="28" t="s">
        <v>1880</v>
      </c>
      <c r="H4" s="72" t="s">
        <v>1886</v>
      </c>
    </row>
    <row r="5">
      <c r="A5" s="71" t="s">
        <v>1887</v>
      </c>
      <c r="B5" s="36" t="s">
        <v>1529</v>
      </c>
      <c r="D5" s="28" t="s">
        <v>1879</v>
      </c>
      <c r="E5" s="28" t="s">
        <v>966</v>
      </c>
      <c r="F5" s="36" t="s">
        <v>1888</v>
      </c>
      <c r="G5" s="28" t="s">
        <v>1880</v>
      </c>
      <c r="H5" s="36" t="s">
        <v>1889</v>
      </c>
    </row>
    <row r="6">
      <c r="A6" s="71" t="s">
        <v>1890</v>
      </c>
      <c r="B6" s="36" t="s">
        <v>1534</v>
      </c>
      <c r="F6" s="36" t="s">
        <v>1888</v>
      </c>
      <c r="H6" s="28" t="s">
        <v>1891</v>
      </c>
    </row>
    <row r="7">
      <c r="A7" s="71" t="s">
        <v>1892</v>
      </c>
      <c r="B7" s="28" t="s">
        <v>1539</v>
      </c>
      <c r="D7" s="28" t="s">
        <v>1893</v>
      </c>
      <c r="E7" s="28" t="s">
        <v>966</v>
      </c>
      <c r="F7" s="36" t="s">
        <v>1894</v>
      </c>
      <c r="H7" s="28" t="s">
        <v>1895</v>
      </c>
    </row>
    <row r="8">
      <c r="A8" s="71" t="s">
        <v>1896</v>
      </c>
      <c r="B8" s="28" t="s">
        <v>1544</v>
      </c>
      <c r="D8" s="28" t="s">
        <v>1897</v>
      </c>
      <c r="E8" s="28" t="s">
        <v>966</v>
      </c>
      <c r="F8" s="36" t="s">
        <v>1898</v>
      </c>
      <c r="G8" s="28" t="s">
        <v>1880</v>
      </c>
      <c r="H8" s="28" t="s">
        <v>1899</v>
      </c>
    </row>
    <row r="9">
      <c r="A9" s="71" t="s">
        <v>1900</v>
      </c>
      <c r="B9" s="36" t="s">
        <v>1548</v>
      </c>
      <c r="F9" s="28" t="s">
        <v>1901</v>
      </c>
      <c r="H9" s="28" t="s">
        <v>1902</v>
      </c>
    </row>
    <row r="10">
      <c r="A10" s="71" t="s">
        <v>1903</v>
      </c>
      <c r="B10" s="28" t="s">
        <v>1551</v>
      </c>
      <c r="D10" s="28" t="s">
        <v>1904</v>
      </c>
      <c r="E10" s="28" t="s">
        <v>966</v>
      </c>
      <c r="F10" s="36" t="s">
        <v>1905</v>
      </c>
      <c r="H10" s="28" t="s">
        <v>1906</v>
      </c>
    </row>
    <row r="11">
      <c r="A11" s="71" t="s">
        <v>1907</v>
      </c>
      <c r="B11" s="28" t="s">
        <v>1556</v>
      </c>
      <c r="F11" s="28">
        <v>98555.0</v>
      </c>
      <c r="G11" s="28" t="s">
        <v>724</v>
      </c>
    </row>
    <row r="12">
      <c r="A12" s="28" t="s">
        <v>1908</v>
      </c>
      <c r="B12" s="28" t="s">
        <v>1560</v>
      </c>
      <c r="C12" s="28" t="s">
        <v>1909</v>
      </c>
      <c r="D12" s="28" t="s">
        <v>1910</v>
      </c>
      <c r="E12" s="28" t="s">
        <v>966</v>
      </c>
      <c r="F12" s="28">
        <v>98444.0</v>
      </c>
      <c r="G12" s="28" t="s">
        <v>724</v>
      </c>
    </row>
    <row r="13">
      <c r="A13" s="28" t="s">
        <v>1908</v>
      </c>
      <c r="B13" s="28" t="s">
        <v>1911</v>
      </c>
      <c r="D13" s="28" t="s">
        <v>1910</v>
      </c>
      <c r="E13" s="28" t="s">
        <v>1912</v>
      </c>
      <c r="F13" s="28">
        <v>98444.0</v>
      </c>
      <c r="G13" s="28" t="s">
        <v>724</v>
      </c>
    </row>
    <row r="14">
      <c r="A14" s="28" t="s">
        <v>1582</v>
      </c>
      <c r="B14" s="28" t="s">
        <v>1913</v>
      </c>
      <c r="D14" s="28" t="s">
        <v>1914</v>
      </c>
      <c r="E14" s="28" t="s">
        <v>1874</v>
      </c>
      <c r="F14" s="28">
        <v>98555.0</v>
      </c>
      <c r="G14" s="28" t="s">
        <v>724</v>
      </c>
    </row>
    <row r="15">
      <c r="A15" s="28" t="s">
        <v>1635</v>
      </c>
      <c r="B15" s="28" t="s">
        <v>1915</v>
      </c>
      <c r="C15" s="28"/>
      <c r="D15" s="28"/>
      <c r="F15" s="28">
        <v>35020.0</v>
      </c>
      <c r="G15" s="28" t="s">
        <v>724</v>
      </c>
    </row>
    <row r="16">
      <c r="A16" s="28" t="s">
        <v>1701</v>
      </c>
      <c r="B16" s="28" t="s">
        <v>1916</v>
      </c>
      <c r="D16" s="28" t="s">
        <v>1879</v>
      </c>
      <c r="E16" s="28" t="s">
        <v>966</v>
      </c>
      <c r="F16" s="28">
        <v>98404.0</v>
      </c>
      <c r="G16" s="28" t="s">
        <v>724</v>
      </c>
    </row>
    <row r="17">
      <c r="A17" s="28" t="s">
        <v>1825</v>
      </c>
      <c r="B17" s="28" t="s">
        <v>1917</v>
      </c>
      <c r="C17" s="28" t="s">
        <v>1918</v>
      </c>
      <c r="D17" s="28" t="s">
        <v>1879</v>
      </c>
      <c r="E17" s="28" t="s">
        <v>965</v>
      </c>
      <c r="F17" s="28">
        <v>98408.0</v>
      </c>
      <c r="G17" s="28" t="s">
        <v>724</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1470</v>
      </c>
      <c r="B1" s="28" t="s">
        <v>1471</v>
      </c>
      <c r="C1" s="28" t="s">
        <v>1463</v>
      </c>
    </row>
    <row r="2">
      <c r="A2" s="8" t="s">
        <v>1919</v>
      </c>
      <c r="B2" s="70" t="s">
        <v>1479</v>
      </c>
      <c r="C2" s="28" t="s">
        <v>1474</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1920</v>
      </c>
      <c r="B1" s="30" t="s">
        <v>1851</v>
      </c>
      <c r="C1" s="30" t="s">
        <v>1921</v>
      </c>
    </row>
    <row r="2">
      <c r="A2" s="38" t="s">
        <v>1922</v>
      </c>
      <c r="B2" s="70" t="s">
        <v>1479</v>
      </c>
      <c r="C2" s="38" t="s">
        <v>1923</v>
      </c>
    </row>
    <row r="3">
      <c r="A3" s="38" t="s">
        <v>1924</v>
      </c>
      <c r="B3" s="70" t="s">
        <v>1486</v>
      </c>
      <c r="C3" s="38" t="s">
        <v>1925</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1926</v>
      </c>
      <c r="B1" s="30" t="s">
        <v>1927</v>
      </c>
      <c r="C1" s="30" t="s">
        <v>1928</v>
      </c>
      <c r="D1" s="30" t="s">
        <v>1929</v>
      </c>
    </row>
    <row r="2">
      <c r="A2" s="38" t="s">
        <v>1923</v>
      </c>
      <c r="B2" s="28" t="s">
        <v>1930</v>
      </c>
      <c r="C2" s="28" t="s">
        <v>1931</v>
      </c>
      <c r="D2" s="28" t="s">
        <v>1932</v>
      </c>
    </row>
    <row r="3">
      <c r="A3" s="38" t="s">
        <v>1925</v>
      </c>
      <c r="B3" s="28" t="s">
        <v>1933</v>
      </c>
      <c r="D3" s="28" t="s">
        <v>1932</v>
      </c>
    </row>
    <row r="4">
      <c r="A4" s="38" t="s">
        <v>1934</v>
      </c>
      <c r="B4" s="28" t="s">
        <v>1935</v>
      </c>
      <c r="D4" s="28" t="s">
        <v>1932</v>
      </c>
    </row>
    <row r="5">
      <c r="A5" s="38" t="s">
        <v>1936</v>
      </c>
      <c r="B5" s="28" t="s">
        <v>1937</v>
      </c>
      <c r="D5" s="28" t="s">
        <v>1932</v>
      </c>
    </row>
    <row r="6">
      <c r="A6" s="38" t="s">
        <v>1938</v>
      </c>
      <c r="B6" s="28" t="s">
        <v>1939</v>
      </c>
      <c r="D6" s="28" t="s">
        <v>1932</v>
      </c>
    </row>
    <row r="7">
      <c r="A7" s="38" t="s">
        <v>1940</v>
      </c>
      <c r="B7" s="28" t="s">
        <v>1941</v>
      </c>
      <c r="D7" s="28" t="s">
        <v>1932</v>
      </c>
    </row>
    <row r="8">
      <c r="A8" s="38" t="s">
        <v>1942</v>
      </c>
      <c r="B8" s="28" t="s">
        <v>1943</v>
      </c>
      <c r="D8" s="28" t="s">
        <v>1932</v>
      </c>
    </row>
    <row r="9">
      <c r="A9" s="38" t="s">
        <v>1944</v>
      </c>
      <c r="B9" s="28" t="s">
        <v>1945</v>
      </c>
      <c r="D9" s="28" t="s">
        <v>1946</v>
      </c>
    </row>
    <row r="10">
      <c r="A10" s="38" t="s">
        <v>1947</v>
      </c>
      <c r="B10" s="28" t="s">
        <v>1303</v>
      </c>
      <c r="D10" s="28" t="s">
        <v>1948</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3.88"/>
    <col customWidth="1" min="3" max="3" width="59.63"/>
    <col customWidth="1" min="4" max="4" width="11.0"/>
  </cols>
  <sheetData>
    <row r="1">
      <c r="A1" s="30" t="s">
        <v>1949</v>
      </c>
      <c r="B1" s="30" t="s">
        <v>1950</v>
      </c>
      <c r="C1" s="30" t="s">
        <v>1951</v>
      </c>
      <c r="D1" s="30" t="s">
        <v>1952</v>
      </c>
    </row>
    <row r="2">
      <c r="A2" s="38" t="s">
        <v>1953</v>
      </c>
      <c r="B2" s="28" t="s">
        <v>1954</v>
      </c>
      <c r="C2" s="28" t="s">
        <v>1955</v>
      </c>
      <c r="D2" s="28" t="s">
        <v>1956</v>
      </c>
    </row>
    <row r="3">
      <c r="A3" s="38" t="s">
        <v>1957</v>
      </c>
      <c r="B3" s="28" t="s">
        <v>1958</v>
      </c>
      <c r="C3" s="28" t="s">
        <v>1959</v>
      </c>
      <c r="D3" s="28" t="s">
        <v>1956</v>
      </c>
    </row>
    <row r="4">
      <c r="A4" s="38" t="s">
        <v>1960</v>
      </c>
      <c r="B4" s="28" t="s">
        <v>1961</v>
      </c>
      <c r="C4" s="28" t="s">
        <v>1962</v>
      </c>
      <c r="D4" s="28" t="s">
        <v>1963</v>
      </c>
    </row>
    <row r="5">
      <c r="A5" s="38" t="s">
        <v>1964</v>
      </c>
      <c r="B5" s="28" t="s">
        <v>1965</v>
      </c>
      <c r="C5" s="28" t="s">
        <v>1966</v>
      </c>
      <c r="D5" s="28" t="s">
        <v>1946</v>
      </c>
    </row>
    <row r="6">
      <c r="A6" s="38" t="s">
        <v>1967</v>
      </c>
      <c r="B6" s="28" t="s">
        <v>1968</v>
      </c>
      <c r="C6" s="28" t="s">
        <v>1969</v>
      </c>
      <c r="D6" s="28" t="s">
        <v>1946</v>
      </c>
    </row>
    <row r="7">
      <c r="A7" s="38" t="s">
        <v>1970</v>
      </c>
      <c r="B7" s="28" t="s">
        <v>1971</v>
      </c>
      <c r="C7" s="28" t="s">
        <v>1972</v>
      </c>
      <c r="D7" s="28" t="s">
        <v>1946</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1973</v>
      </c>
      <c r="B1" s="30" t="s">
        <v>1851</v>
      </c>
      <c r="C1" s="30" t="s">
        <v>1974</v>
      </c>
    </row>
    <row r="2">
      <c r="A2" s="38" t="s">
        <v>1975</v>
      </c>
      <c r="B2" s="70" t="s">
        <v>1479</v>
      </c>
      <c r="C2" s="38" t="s">
        <v>1953</v>
      </c>
    </row>
    <row r="3">
      <c r="A3" s="38" t="s">
        <v>1976</v>
      </c>
      <c r="B3" s="70" t="s">
        <v>1479</v>
      </c>
      <c r="C3" s="38" t="s">
        <v>1957</v>
      </c>
    </row>
    <row r="4">
      <c r="A4" s="38" t="s">
        <v>1977</v>
      </c>
      <c r="B4" s="70" t="s">
        <v>1486</v>
      </c>
      <c r="C4" s="38" t="s">
        <v>1953</v>
      </c>
    </row>
    <row r="5">
      <c r="A5" s="38" t="s">
        <v>1978</v>
      </c>
      <c r="B5" s="70" t="s">
        <v>1486</v>
      </c>
      <c r="C5" s="38" t="s">
        <v>1957</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13"/>
  </cols>
  <sheetData>
    <row r="1">
      <c r="A1" s="30" t="s">
        <v>1979</v>
      </c>
      <c r="B1" s="30" t="s">
        <v>1980</v>
      </c>
      <c r="C1" s="30" t="s">
        <v>1981</v>
      </c>
    </row>
    <row r="2">
      <c r="A2" s="28">
        <v>1.0</v>
      </c>
      <c r="B2" s="28" t="s">
        <v>1982</v>
      </c>
      <c r="C2" s="28" t="s">
        <v>1983</v>
      </c>
    </row>
    <row r="3">
      <c r="A3" s="28">
        <v>2.0</v>
      </c>
      <c r="B3" s="28" t="s">
        <v>1984</v>
      </c>
      <c r="C3" s="28" t="s">
        <v>1985</v>
      </c>
    </row>
    <row r="4">
      <c r="A4" s="28">
        <v>3.0</v>
      </c>
      <c r="B4" s="28" t="s">
        <v>10</v>
      </c>
      <c r="C4" s="28" t="s">
        <v>10</v>
      </c>
    </row>
    <row r="5">
      <c r="A5" s="28">
        <v>4.0</v>
      </c>
      <c r="B5" s="28" t="s">
        <v>1986</v>
      </c>
      <c r="C5" s="28" t="s">
        <v>1987</v>
      </c>
    </row>
    <row r="6">
      <c r="A6" s="28">
        <v>5.0</v>
      </c>
      <c r="B6" s="28" t="s">
        <v>1988</v>
      </c>
      <c r="C6" s="28" t="s">
        <v>1987</v>
      </c>
    </row>
    <row r="7">
      <c r="A7" s="28">
        <v>6.0</v>
      </c>
      <c r="B7" s="28" t="s">
        <v>1989</v>
      </c>
      <c r="C7" s="28" t="s">
        <v>1990</v>
      </c>
    </row>
  </sheetData>
  <drawing r:id="rId1"/>
</worksheet>
</file>